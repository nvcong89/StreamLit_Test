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0608\Documents\GitHub\Plot_MooringForces\Report2Excel\"/>
    </mc:Choice>
  </mc:AlternateContent>
  <xr:revisionPtr revIDLastSave="0" documentId="13_ncr:1_{76D88AE0-9111-40F4-8415-AD44D59E0D59}" xr6:coauthVersionLast="47" xr6:coauthVersionMax="47" xr10:uidLastSave="{00000000-0000-0000-0000-000000000000}"/>
  <bookViews>
    <workbookView xWindow="-120" yWindow="-120" windowWidth="29040" windowHeight="15720" tabRatio="845" firstSheet="1" activeTab="2" xr2:uid="{00000000-000D-0000-FFFF-FFFF00000000}"/>
  </bookViews>
  <sheets>
    <sheet name="Database" sheetId="12" state="hidden" r:id="rId1"/>
    <sheet name="SUMMARY" sheetId="9" r:id="rId2"/>
    <sheet name="Cases" sheetId="1" r:id="rId3"/>
    <sheet name="Fenders" sheetId="2" r:id="rId4"/>
    <sheet name="Line_Tensions" sheetId="3" r:id="rId5"/>
    <sheet name="Hook_Bollard_Forces" sheetId="4" r:id="rId6"/>
    <sheet name="Greatest_Excursions" sheetId="5" r:id="rId7"/>
    <sheet name="Greatest_Line" sheetId="6" r:id="rId8"/>
    <sheet name="Greatest_Fender" sheetId="7" r:id="rId9"/>
    <sheet name="Greatest_Bollard" sheetId="8" r:id="rId10"/>
  </sheets>
  <definedNames>
    <definedName name="_xlnm._FilterDatabase" localSheetId="5" hidden="1">Hook_Bollard_Forces!$A$1:$I$209</definedName>
    <definedName name="_xleta.COD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9" i="9" l="1"/>
  <c r="AC20" i="9"/>
  <c r="AC21" i="9"/>
  <c r="AC22" i="9"/>
  <c r="AC23" i="9"/>
  <c r="AC24" i="9"/>
  <c r="AC25" i="9"/>
  <c r="AC26" i="9"/>
  <c r="AC27" i="9"/>
  <c r="AC28" i="9"/>
  <c r="AC29" i="9"/>
  <c r="AC30" i="9"/>
  <c r="AC31" i="9"/>
  <c r="AC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18" i="9"/>
  <c r="Y24" i="9"/>
  <c r="Y25" i="9"/>
  <c r="Y26" i="9" s="1"/>
  <c r="Y27" i="9" s="1"/>
  <c r="Y28" i="9" s="1"/>
  <c r="Y29" i="9" s="1"/>
  <c r="Y30" i="9" s="1"/>
  <c r="Y31" i="9" s="1"/>
  <c r="Y20" i="9"/>
  <c r="Y21" i="9" s="1"/>
  <c r="Y22" i="9" s="1"/>
  <c r="Y23" i="9" s="1"/>
  <c r="Y19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U34" i="9" s="1" a="1"/>
  <c r="U34" i="9" s="1"/>
  <c r="O35" i="9"/>
  <c r="P35" i="9" s="1" a="1"/>
  <c r="P35" i="9" s="1"/>
  <c r="O36" i="9"/>
  <c r="Q36" i="9" s="1" a="1"/>
  <c r="Q36" i="9" s="1"/>
  <c r="O37" i="9"/>
  <c r="T37" i="9" s="1" a="1"/>
  <c r="T37" i="9" s="1"/>
  <c r="O38" i="9"/>
  <c r="R38" i="9" s="1" a="1"/>
  <c r="R38" i="9" s="1"/>
  <c r="O39" i="9"/>
  <c r="P39" i="9" s="1" a="1"/>
  <c r="P39" i="9" s="1"/>
  <c r="O40" i="9"/>
  <c r="T40" i="9" s="1" a="1"/>
  <c r="T40" i="9" s="1"/>
  <c r="O41" i="9"/>
  <c r="P41" i="9" s="1" a="1"/>
  <c r="P41" i="9" s="1"/>
  <c r="O42" i="9"/>
  <c r="O43" i="9"/>
  <c r="O44" i="9"/>
  <c r="O45" i="9"/>
  <c r="O46" i="9"/>
  <c r="O47" i="9"/>
  <c r="O48" i="9"/>
  <c r="P48" i="9" s="1" a="1"/>
  <c r="P48" i="9" s="1"/>
  <c r="O49" i="9"/>
  <c r="O50" i="9"/>
  <c r="S50" i="9" s="1" a="1"/>
  <c r="S50" i="9" s="1"/>
  <c r="O51" i="9"/>
  <c r="O52" i="9"/>
  <c r="R52" i="9" s="1" a="1"/>
  <c r="R52" i="9" s="1"/>
  <c r="O53" i="9"/>
  <c r="U53" i="9" s="1" a="1"/>
  <c r="U53" i="9" s="1"/>
  <c r="O54" i="9"/>
  <c r="Q54" i="9" s="1" a="1"/>
  <c r="Q54" i="9" s="1"/>
  <c r="O55" i="9"/>
  <c r="Q55" i="9" s="1" a="1"/>
  <c r="Q55" i="9" s="1"/>
  <c r="O56" i="9"/>
  <c r="U56" i="9" s="1" a="1"/>
  <c r="U56" i="9" s="1"/>
  <c r="O57" i="9"/>
  <c r="P57" i="9" s="1" a="1"/>
  <c r="P57" i="9" s="1"/>
  <c r="O58" i="9"/>
  <c r="T58" i="9" s="1" a="1"/>
  <c r="T58" i="9" s="1"/>
  <c r="O59" i="9"/>
  <c r="T59" i="9" s="1" a="1"/>
  <c r="T59" i="9" s="1"/>
  <c r="O60" i="9"/>
  <c r="R60" i="9" s="1" a="1"/>
  <c r="R60" i="9" s="1"/>
  <c r="O61" i="9"/>
  <c r="P61" i="9" s="1" a="1"/>
  <c r="P61" i="9" s="1"/>
  <c r="O62" i="9"/>
  <c r="T62" i="9" s="1" a="1"/>
  <c r="T62" i="9" s="1"/>
  <c r="O63" i="9"/>
  <c r="P63" i="9" s="1" a="1"/>
  <c r="P63" i="9" s="1"/>
  <c r="O64" i="9"/>
  <c r="O65" i="9"/>
  <c r="O66" i="9"/>
  <c r="O67" i="9"/>
  <c r="O18" i="9"/>
  <c r="Z18" i="9" a="1"/>
  <c r="Z18" i="9" s="1"/>
  <c r="R30" i="9" a="1"/>
  <c r="R30" i="9" s="1"/>
  <c r="P42" i="9" a="1"/>
  <c r="P42" i="9" s="1"/>
  <c r="S43" i="9" a="1"/>
  <c r="S43" i="9" s="1"/>
  <c r="P44" i="9" a="1"/>
  <c r="P44" i="9" s="1"/>
  <c r="P45" i="9" a="1"/>
  <c r="P45" i="9" s="1"/>
  <c r="S46" i="9" a="1"/>
  <c r="S46" i="9" s="1"/>
  <c r="P47" i="9" a="1"/>
  <c r="P47" i="9" s="1"/>
  <c r="P51" i="9" a="1"/>
  <c r="P51" i="9" s="1"/>
  <c r="P64" i="9" a="1"/>
  <c r="P64" i="9" s="1"/>
  <c r="P65" i="9" a="1"/>
  <c r="P65" i="9" s="1"/>
  <c r="P66" i="9" a="1"/>
  <c r="P66" i="9" s="1"/>
  <c r="P67" i="9" a="1"/>
  <c r="P67" i="9" s="1"/>
  <c r="U31" i="9" a="1"/>
  <c r="U31" i="9" s="1"/>
  <c r="P32" i="9" a="1"/>
  <c r="P32" i="9" s="1"/>
  <c r="M19" i="9"/>
  <c r="M20" i="9" s="1"/>
  <c r="M21" i="9" s="1"/>
  <c r="M22" i="9" s="1"/>
  <c r="M23" i="9" s="1"/>
  <c r="M24" i="9" s="1"/>
  <c r="M25" i="9" s="1"/>
  <c r="M26" i="9" s="1"/>
  <c r="M27" i="9" s="1"/>
  <c r="M28" i="9" s="1"/>
  <c r="M29" i="9" s="1"/>
  <c r="M30" i="9" s="1"/>
  <c r="M31" i="9" s="1"/>
  <c r="M32" i="9" s="1"/>
  <c r="M33" i="9" s="1"/>
  <c r="M34" i="9" s="1"/>
  <c r="M35" i="9" s="1"/>
  <c r="M36" i="9" s="1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M49" i="9" s="1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M60" i="9" s="1"/>
  <c r="M61" i="9" s="1"/>
  <c r="M62" i="9" s="1"/>
  <c r="M63" i="9" s="1"/>
  <c r="M64" i="9" s="1"/>
  <c r="M65" i="9" s="1"/>
  <c r="M66" i="9" s="1"/>
  <c r="M67" i="9" s="1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E2" i="12" a="1"/>
  <c r="A2" i="12" a="1"/>
  <c r="C2" i="12" a="1"/>
  <c r="R49" i="9" a="1"/>
  <c r="R49" i="9" s="1"/>
  <c r="B18" i="9" a="1"/>
  <c r="B18" i="9" s="1"/>
  <c r="A19" i="9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D18" i="9" l="1" a="1"/>
  <c r="D18" i="9" s="1"/>
  <c r="C2" i="12"/>
  <c r="D2" i="12" s="1"/>
  <c r="D3" i="12"/>
  <c r="D4" i="12"/>
  <c r="D5" i="12"/>
  <c r="D27" i="12"/>
  <c r="D49" i="12"/>
  <c r="D6" i="12"/>
  <c r="D28" i="12"/>
  <c r="D50" i="12"/>
  <c r="D7" i="12"/>
  <c r="D29" i="12"/>
  <c r="D51" i="12"/>
  <c r="D8" i="12"/>
  <c r="D30" i="12"/>
  <c r="D52" i="12"/>
  <c r="D9" i="12"/>
  <c r="D31" i="12"/>
  <c r="D53" i="12"/>
  <c r="D10" i="12"/>
  <c r="D32" i="12"/>
  <c r="D11" i="12"/>
  <c r="D33" i="12"/>
  <c r="D14" i="12"/>
  <c r="D36" i="12"/>
  <c r="D17" i="12"/>
  <c r="D47" i="12"/>
  <c r="D19" i="12"/>
  <c r="D12" i="12"/>
  <c r="D16" i="12"/>
  <c r="D38" i="12"/>
  <c r="D18" i="12"/>
  <c r="D20" i="12"/>
  <c r="D42" i="12"/>
  <c r="D34" i="12"/>
  <c r="D35" i="12"/>
  <c r="D39" i="12"/>
  <c r="D41" i="12"/>
  <c r="D13" i="12"/>
  <c r="D15" i="12"/>
  <c r="D37" i="12"/>
  <c r="D40" i="12"/>
  <c r="D25" i="12"/>
  <c r="D26" i="12"/>
  <c r="D48" i="12"/>
  <c r="D21" i="12"/>
  <c r="D43" i="12"/>
  <c r="A2" i="12"/>
  <c r="B2" i="12" s="1"/>
  <c r="B3" i="12"/>
  <c r="B6" i="12"/>
  <c r="B7" i="12"/>
  <c r="B10" i="12"/>
  <c r="B4" i="12"/>
  <c r="B5" i="12"/>
  <c r="B9" i="12"/>
  <c r="B12" i="12"/>
  <c r="B15" i="12"/>
  <c r="B8" i="12"/>
  <c r="B11" i="12"/>
  <c r="E2" i="12"/>
  <c r="F2" i="12" s="1"/>
  <c r="F5" i="12"/>
  <c r="F15" i="12"/>
  <c r="F6" i="12"/>
  <c r="F7" i="12"/>
  <c r="F8" i="12"/>
  <c r="F9" i="12"/>
  <c r="F10" i="12"/>
  <c r="F13" i="12"/>
  <c r="F3" i="12"/>
  <c r="F14" i="12"/>
  <c r="F11" i="12"/>
  <c r="F12" i="12"/>
  <c r="B16" i="12"/>
  <c r="D46" i="12"/>
  <c r="D24" i="12"/>
  <c r="D45" i="12"/>
  <c r="D23" i="12"/>
  <c r="B14" i="12"/>
  <c r="D44" i="12"/>
  <c r="D22" i="12"/>
  <c r="B13" i="12"/>
  <c r="F4" i="12"/>
  <c r="B17" i="12"/>
  <c r="P52" i="9" a="1"/>
  <c r="P52" i="9" s="1"/>
  <c r="R65" i="9" a="1"/>
  <c r="R65" i="9" s="1"/>
  <c r="S65" i="9" a="1"/>
  <c r="S65" i="9" s="1"/>
  <c r="S32" i="9" a="1"/>
  <c r="S32" i="9" s="1"/>
  <c r="R32" i="9" a="1"/>
  <c r="R32" i="9" s="1"/>
  <c r="P53" i="9" a="1"/>
  <c r="P53" i="9" s="1"/>
  <c r="R46" i="9" a="1"/>
  <c r="R46" i="9" s="1"/>
  <c r="R63" i="9" a="1"/>
  <c r="R63" i="9" s="1"/>
  <c r="Q63" i="9" a="1"/>
  <c r="Q63" i="9" s="1"/>
  <c r="W63" i="9" s="1"/>
  <c r="R47" i="9" a="1"/>
  <c r="R47" i="9" s="1"/>
  <c r="T57" i="9" a="1"/>
  <c r="T57" i="9" s="1"/>
  <c r="S57" i="9" a="1"/>
  <c r="S57" i="9" s="1"/>
  <c r="Q43" i="9" a="1"/>
  <c r="Q43" i="9" s="1"/>
  <c r="W43" i="9" s="1"/>
  <c r="R57" i="9" a="1"/>
  <c r="R57" i="9" s="1"/>
  <c r="Q57" i="9" a="1"/>
  <c r="Q57" i="9" s="1"/>
  <c r="W57" i="9" s="1"/>
  <c r="U41" i="9" a="1"/>
  <c r="U41" i="9" s="1"/>
  <c r="T41" i="9" a="1"/>
  <c r="T41" i="9" s="1"/>
  <c r="Q47" i="9" a="1"/>
  <c r="Q47" i="9" s="1"/>
  <c r="V47" i="9" s="1"/>
  <c r="T34" i="9" a="1"/>
  <c r="T34" i="9" s="1"/>
  <c r="P54" i="9" a="1"/>
  <c r="P54" i="9" s="1"/>
  <c r="R41" i="9" a="1"/>
  <c r="R41" i="9" s="1"/>
  <c r="S41" i="9" a="1"/>
  <c r="S41" i="9" s="1"/>
  <c r="U60" i="9" a="1"/>
  <c r="U60" i="9" s="1"/>
  <c r="T60" i="9" a="1"/>
  <c r="T60" i="9" s="1"/>
  <c r="P50" i="9" a="1"/>
  <c r="P50" i="9" s="1"/>
  <c r="Q41" i="9" a="1"/>
  <c r="Q41" i="9" s="1"/>
  <c r="W41" i="9" s="1"/>
  <c r="S60" i="9" a="1"/>
  <c r="S60" i="9" s="1"/>
  <c r="Q60" i="9" a="1"/>
  <c r="Q60" i="9" s="1"/>
  <c r="V60" i="9" s="1"/>
  <c r="Q49" i="9" a="1"/>
  <c r="Q49" i="9" s="1"/>
  <c r="W49" i="9" s="1"/>
  <c r="P60" i="9" a="1"/>
  <c r="P60" i="9" s="1"/>
  <c r="U47" i="9" a="1"/>
  <c r="U47" i="9" s="1"/>
  <c r="T47" i="9" a="1"/>
  <c r="T47" i="9" s="1"/>
  <c r="U57" i="9" a="1"/>
  <c r="U57" i="9" s="1"/>
  <c r="S47" i="9" a="1"/>
  <c r="S47" i="9" s="1"/>
  <c r="Q53" i="9" a="1"/>
  <c r="Q53" i="9" s="1"/>
  <c r="W53" i="9" s="1"/>
  <c r="Q52" i="9" a="1"/>
  <c r="Q52" i="9" s="1"/>
  <c r="W52" i="9" s="1"/>
  <c r="P46" i="9" a="1"/>
  <c r="P46" i="9" s="1"/>
  <c r="Q38" i="9" a="1"/>
  <c r="Q38" i="9" s="1"/>
  <c r="W38" i="9" s="1"/>
  <c r="S34" i="9" a="1"/>
  <c r="S34" i="9" s="1"/>
  <c r="T66" i="9" a="1"/>
  <c r="T66" i="9" s="1"/>
  <c r="U66" i="9" a="1"/>
  <c r="U66" i="9" s="1"/>
  <c r="U44" i="9" a="1"/>
  <c r="U44" i="9" s="1"/>
  <c r="S66" i="9" a="1"/>
  <c r="S66" i="9" s="1"/>
  <c r="S59" i="9" a="1"/>
  <c r="S59" i="9" s="1"/>
  <c r="U51" i="9" a="1"/>
  <c r="U51" i="9" s="1"/>
  <c r="T44" i="9" a="1"/>
  <c r="T44" i="9" s="1"/>
  <c r="R66" i="9" a="1"/>
  <c r="R66" i="9" s="1"/>
  <c r="Q59" i="9" a="1"/>
  <c r="Q59" i="9" s="1"/>
  <c r="W59" i="9" s="1"/>
  <c r="T51" i="9" a="1"/>
  <c r="T51" i="9" s="1"/>
  <c r="S44" i="9" a="1"/>
  <c r="S44" i="9" s="1"/>
  <c r="U35" i="9" a="1"/>
  <c r="U35" i="9" s="1"/>
  <c r="Q66" i="9" a="1"/>
  <c r="Q66" i="9" s="1"/>
  <c r="W66" i="9" s="1"/>
  <c r="R44" i="9" a="1"/>
  <c r="R44" i="9" s="1"/>
  <c r="T35" i="9" a="1"/>
  <c r="T35" i="9" s="1"/>
  <c r="P58" i="9" a="1"/>
  <c r="P58" i="9" s="1"/>
  <c r="R50" i="9" a="1"/>
  <c r="R50" i="9" s="1"/>
  <c r="Q44" i="9" a="1"/>
  <c r="Q44" i="9" s="1"/>
  <c r="V44" i="9" s="1"/>
  <c r="S35" i="9" a="1"/>
  <c r="S35" i="9" s="1"/>
  <c r="Q50" i="9" a="1"/>
  <c r="Q50" i="9" s="1"/>
  <c r="V50" i="9" s="1"/>
  <c r="R35" i="9" a="1"/>
  <c r="R35" i="9" s="1"/>
  <c r="P38" i="9" a="1"/>
  <c r="P38" i="9" s="1"/>
  <c r="P30" i="9" a="1"/>
  <c r="P30" i="9" s="1"/>
  <c r="T32" i="9" a="1"/>
  <c r="T32" i="9" s="1"/>
  <c r="G19" i="9" a="1"/>
  <c r="G19" i="9" s="1"/>
  <c r="I29" i="9" a="1"/>
  <c r="I29" i="9" s="1"/>
  <c r="P55" i="9" a="1"/>
  <c r="P55" i="9" s="1"/>
  <c r="Q35" i="9" a="1"/>
  <c r="Q35" i="9" s="1"/>
  <c r="V35" i="9" s="1"/>
  <c r="Q29" i="9" a="1"/>
  <c r="Q29" i="9" s="1"/>
  <c r="D27" i="9" a="1"/>
  <c r="D27" i="9" s="1"/>
  <c r="Q28" i="9" a="1"/>
  <c r="Q28" i="9" s="1"/>
  <c r="W28" i="9" s="1"/>
  <c r="G26" i="9" a="1"/>
  <c r="G26" i="9" s="1"/>
  <c r="S64" i="9" a="1"/>
  <c r="S64" i="9" s="1"/>
  <c r="U54" i="9" a="1"/>
  <c r="U54" i="9" s="1"/>
  <c r="E31" i="9" a="1"/>
  <c r="E31" i="9" s="1"/>
  <c r="J31" i="9" s="1"/>
  <c r="F25" i="9" a="1"/>
  <c r="F25" i="9" s="1"/>
  <c r="R27" i="9" a="1"/>
  <c r="R27" i="9" s="1"/>
  <c r="I28" i="9" a="1"/>
  <c r="I28" i="9" s="1"/>
  <c r="U38" i="9" a="1"/>
  <c r="U38" i="9" s="1"/>
  <c r="D30" i="9" a="1"/>
  <c r="D30" i="9" s="1"/>
  <c r="T54" i="9" a="1"/>
  <c r="T54" i="9" s="1"/>
  <c r="T38" i="9" a="1"/>
  <c r="T38" i="9" s="1"/>
  <c r="Q33" i="9" a="1"/>
  <c r="Q33" i="9" s="1"/>
  <c r="W33" i="9" s="1"/>
  <c r="I32" i="9" a="1"/>
  <c r="I32" i="9" s="1"/>
  <c r="D23" i="9" a="1"/>
  <c r="D23" i="9" s="1"/>
  <c r="T63" i="9" a="1"/>
  <c r="T63" i="9" s="1"/>
  <c r="S54" i="9" a="1"/>
  <c r="S54" i="9" s="1"/>
  <c r="S38" i="9" a="1"/>
  <c r="S38" i="9" s="1"/>
  <c r="P26" i="9" a="1"/>
  <c r="P26" i="9" s="1"/>
  <c r="P49" i="9" a="1"/>
  <c r="P49" i="9" s="1"/>
  <c r="H33" i="9" a="1"/>
  <c r="H33" i="9" s="1"/>
  <c r="D24" i="9" a="1"/>
  <c r="D24" i="9" s="1"/>
  <c r="U63" i="9" a="1"/>
  <c r="U63" i="9" s="1"/>
  <c r="G22" i="9" a="1"/>
  <c r="G22" i="9" s="1"/>
  <c r="S63" i="9" a="1"/>
  <c r="S63" i="9" s="1"/>
  <c r="D21" i="9" a="1"/>
  <c r="D21" i="9" s="1"/>
  <c r="H20" i="9" a="1"/>
  <c r="H20" i="9" s="1"/>
  <c r="R54" i="9" a="1"/>
  <c r="R54" i="9" s="1"/>
  <c r="R43" i="9" a="1"/>
  <c r="R43" i="9" s="1"/>
  <c r="U32" i="9" a="1"/>
  <c r="U32" i="9" s="1"/>
  <c r="V54" i="9"/>
  <c r="W54" i="9"/>
  <c r="Q32" i="9" a="1"/>
  <c r="Q32" i="9" s="1"/>
  <c r="Q30" i="9" a="1"/>
  <c r="Q30" i="9" s="1"/>
  <c r="V30" i="9" s="1"/>
  <c r="S51" i="9" a="1"/>
  <c r="S51" i="9" s="1"/>
  <c r="U48" i="9" a="1"/>
  <c r="U48" i="9" s="1"/>
  <c r="T56" i="9" a="1"/>
  <c r="T56" i="9" s="1"/>
  <c r="Q46" i="9" a="1"/>
  <c r="Q46" i="9" s="1"/>
  <c r="W46" i="9" s="1"/>
  <c r="S40" i="9" a="1"/>
  <c r="S40" i="9" s="1"/>
  <c r="T31" i="9" a="1"/>
  <c r="T31" i="9" s="1"/>
  <c r="S37" i="9" a="1"/>
  <c r="S37" i="9" s="1"/>
  <c r="Q65" i="9" a="1"/>
  <c r="Q65" i="9" s="1"/>
  <c r="V65" i="9" s="1"/>
  <c r="S62" i="9" a="1"/>
  <c r="S62" i="9" s="1"/>
  <c r="R59" i="9" a="1"/>
  <c r="R59" i="9" s="1"/>
  <c r="U67" i="9" a="1"/>
  <c r="U67" i="9" s="1"/>
  <c r="S56" i="9" a="1"/>
  <c r="S56" i="9" s="1"/>
  <c r="R51" i="9" a="1"/>
  <c r="R51" i="9" s="1"/>
  <c r="T48" i="9" a="1"/>
  <c r="T48" i="9" s="1"/>
  <c r="P43" i="9" a="1"/>
  <c r="P43" i="9" s="1"/>
  <c r="R37" i="9" a="1"/>
  <c r="R37" i="9" s="1"/>
  <c r="R34" i="9" a="1"/>
  <c r="R34" i="9" s="1"/>
  <c r="S31" i="9" a="1"/>
  <c r="S31" i="9" s="1"/>
  <c r="R40" i="9" a="1"/>
  <c r="R40" i="9" s="1"/>
  <c r="R62" i="9" a="1"/>
  <c r="R62" i="9" s="1"/>
  <c r="Q40" i="9" a="1"/>
  <c r="Q40" i="9" s="1"/>
  <c r="W40" i="9" s="1"/>
  <c r="Q37" i="9" a="1"/>
  <c r="Q37" i="9" s="1"/>
  <c r="W37" i="9" s="1"/>
  <c r="Q34" i="9" a="1"/>
  <c r="Q34" i="9" s="1"/>
  <c r="V34" i="9" s="1"/>
  <c r="R31" i="9" a="1"/>
  <c r="R31" i="9" s="1"/>
  <c r="T67" i="9" a="1"/>
  <c r="T67" i="9" s="1"/>
  <c r="R56" i="9" a="1"/>
  <c r="R56" i="9" s="1"/>
  <c r="U50" i="9" a="1"/>
  <c r="U50" i="9" s="1"/>
  <c r="S48" i="9" a="1"/>
  <c r="S48" i="9" s="1"/>
  <c r="S67" i="9" a="1"/>
  <c r="S67" i="9" s="1"/>
  <c r="Q62" i="9" a="1"/>
  <c r="Q62" i="9" s="1"/>
  <c r="V62" i="9" s="1"/>
  <c r="P59" i="9" a="1"/>
  <c r="P59" i="9" s="1"/>
  <c r="R48" i="9" a="1"/>
  <c r="R48" i="9" s="1"/>
  <c r="U45" i="9" a="1"/>
  <c r="U45" i="9" s="1"/>
  <c r="U42" i="9" a="1"/>
  <c r="U42" i="9" s="1"/>
  <c r="Q31" i="9" a="1"/>
  <c r="Q31" i="9" s="1"/>
  <c r="V31" i="9" s="1"/>
  <c r="U64" i="9" a="1"/>
  <c r="U64" i="9" s="1"/>
  <c r="P62" i="9" a="1"/>
  <c r="P62" i="9" s="1"/>
  <c r="Q56" i="9" a="1"/>
  <c r="Q56" i="9" s="1"/>
  <c r="V56" i="9" s="1"/>
  <c r="T53" i="9" a="1"/>
  <c r="T53" i="9" s="1"/>
  <c r="T50" i="9" a="1"/>
  <c r="T50" i="9" s="1"/>
  <c r="Q48" i="9" a="1"/>
  <c r="Q48" i="9" s="1"/>
  <c r="V48" i="9" s="1"/>
  <c r="T42" i="9" a="1"/>
  <c r="T42" i="9" s="1"/>
  <c r="P40" i="9" a="1"/>
  <c r="P40" i="9" s="1"/>
  <c r="P37" i="9" a="1"/>
  <c r="P37" i="9" s="1"/>
  <c r="P34" i="9" a="1"/>
  <c r="P34" i="9" s="1"/>
  <c r="T45" i="9" a="1"/>
  <c r="T45" i="9" s="1"/>
  <c r="P31" i="9" a="1"/>
  <c r="P31" i="9" s="1"/>
  <c r="T64" i="9" a="1"/>
  <c r="T64" i="9" s="1"/>
  <c r="S53" i="9" a="1"/>
  <c r="S53" i="9" s="1"/>
  <c r="P56" i="9" a="1"/>
  <c r="P56" i="9" s="1"/>
  <c r="R53" i="9" a="1"/>
  <c r="R53" i="9" s="1"/>
  <c r="S45" i="9" a="1"/>
  <c r="S45" i="9" s="1"/>
  <c r="P36" i="9" a="1"/>
  <c r="P36" i="9" s="1"/>
  <c r="P33" i="9" a="1"/>
  <c r="P33" i="9" s="1"/>
  <c r="V36" i="9"/>
  <c r="W36" i="9"/>
  <c r="V55" i="9"/>
  <c r="W55" i="9"/>
  <c r="U39" i="9" a="1"/>
  <c r="U39" i="9" s="1"/>
  <c r="U58" i="9" a="1"/>
  <c r="U58" i="9" s="1"/>
  <c r="U30" i="9" a="1"/>
  <c r="U30" i="9" s="1"/>
  <c r="R67" i="9" a="1"/>
  <c r="R67" i="9" s="1"/>
  <c r="S61" i="9" a="1"/>
  <c r="S61" i="9" s="1"/>
  <c r="T55" i="9" a="1"/>
  <c r="T55" i="9" s="1"/>
  <c r="Q51" i="9" a="1"/>
  <c r="Q51" i="9" s="1"/>
  <c r="U49" i="9" a="1"/>
  <c r="U49" i="9" s="1"/>
  <c r="R45" i="9" a="1"/>
  <c r="R45" i="9" s="1"/>
  <c r="S39" i="9" a="1"/>
  <c r="S39" i="9" s="1"/>
  <c r="S42" i="9" a="1"/>
  <c r="S42" i="9" s="1"/>
  <c r="T36" i="9" a="1"/>
  <c r="T36" i="9" s="1"/>
  <c r="S58" i="9" a="1"/>
  <c r="S58" i="9" s="1"/>
  <c r="R42" i="9" a="1"/>
  <c r="R42" i="9" s="1"/>
  <c r="S36" i="9" a="1"/>
  <c r="S36" i="9" s="1"/>
  <c r="T30" i="9" a="1"/>
  <c r="T30" i="9" s="1"/>
  <c r="U36" i="9" a="1"/>
  <c r="U36" i="9" s="1"/>
  <c r="Q67" i="9" a="1"/>
  <c r="Q67" i="9" s="1"/>
  <c r="U65" i="9" a="1"/>
  <c r="U65" i="9" s="1"/>
  <c r="R61" i="9" a="1"/>
  <c r="R61" i="9" s="1"/>
  <c r="S55" i="9" a="1"/>
  <c r="S55" i="9" s="1"/>
  <c r="T49" i="9" a="1"/>
  <c r="T49" i="9" s="1"/>
  <c r="Q45" i="9" a="1"/>
  <c r="Q45" i="9" s="1"/>
  <c r="U43" i="9" a="1"/>
  <c r="U43" i="9" s="1"/>
  <c r="R39" i="9" a="1"/>
  <c r="R39" i="9" s="1"/>
  <c r="U61" i="9" a="1"/>
  <c r="U61" i="9" s="1"/>
  <c r="T61" i="9" a="1"/>
  <c r="T61" i="9" s="1"/>
  <c r="U46" i="9" a="1"/>
  <c r="U46" i="9" s="1"/>
  <c r="Q64" i="9" a="1"/>
  <c r="Q64" i="9" s="1"/>
  <c r="U62" i="9" a="1"/>
  <c r="U62" i="9" s="1"/>
  <c r="R58" i="9" a="1"/>
  <c r="R58" i="9" s="1"/>
  <c r="S52" i="9" a="1"/>
  <c r="S52" i="9" s="1"/>
  <c r="T46" i="9" a="1"/>
  <c r="T46" i="9" s="1"/>
  <c r="Q42" i="9" a="1"/>
  <c r="Q42" i="9" s="1"/>
  <c r="U40" i="9" a="1"/>
  <c r="U40" i="9" s="1"/>
  <c r="R36" i="9" a="1"/>
  <c r="R36" i="9" s="1"/>
  <c r="S30" i="9" a="1"/>
  <c r="S30" i="9" s="1"/>
  <c r="U55" i="9" a="1"/>
  <c r="U55" i="9" s="1"/>
  <c r="U52" i="9" a="1"/>
  <c r="U52" i="9" s="1"/>
  <c r="T52" i="9" a="1"/>
  <c r="T52" i="9" s="1"/>
  <c r="T65" i="9" a="1"/>
  <c r="T65" i="9" s="1"/>
  <c r="Q61" i="9" a="1"/>
  <c r="Q61" i="9" s="1"/>
  <c r="U59" i="9" a="1"/>
  <c r="U59" i="9" s="1"/>
  <c r="R55" i="9" a="1"/>
  <c r="R55" i="9" s="1"/>
  <c r="S49" i="9" a="1"/>
  <c r="S49" i="9" s="1"/>
  <c r="T43" i="9" a="1"/>
  <c r="T43" i="9" s="1"/>
  <c r="Q39" i="9" a="1"/>
  <c r="Q39" i="9" s="1"/>
  <c r="U37" i="9" a="1"/>
  <c r="U37" i="9" s="1"/>
  <c r="T39" i="9" a="1"/>
  <c r="T39" i="9" s="1"/>
  <c r="R64" i="9" a="1"/>
  <c r="R64" i="9" s="1"/>
  <c r="Q58" i="9" a="1"/>
  <c r="Q58" i="9" s="1"/>
  <c r="I30" i="9" a="1"/>
  <c r="I30" i="9" s="1"/>
  <c r="I18" i="9" a="1"/>
  <c r="I18" i="9" s="1"/>
  <c r="G18" i="9" a="1"/>
  <c r="G18" i="9" s="1"/>
  <c r="H18" i="9" a="1"/>
  <c r="H18" i="9" s="1"/>
  <c r="H31" i="9" a="1"/>
  <c r="H31" i="9" s="1"/>
  <c r="F18" i="9" a="1"/>
  <c r="F18" i="9" s="1"/>
  <c r="G31" i="9" a="1"/>
  <c r="G31" i="9" s="1"/>
  <c r="I25" i="9" a="1"/>
  <c r="I25" i="9" s="1"/>
  <c r="E21" i="9" a="1"/>
  <c r="E21" i="9" s="1"/>
  <c r="E18" i="9" a="1"/>
  <c r="E18" i="9" s="1"/>
  <c r="D32" i="9" l="1" a="1"/>
  <c r="D32" i="9" s="1"/>
  <c r="F33" i="9" a="1"/>
  <c r="F33" i="9" s="1"/>
  <c r="E32" i="9" a="1"/>
  <c r="E32" i="9" s="1"/>
  <c r="K32" i="9" s="1"/>
  <c r="G33" i="9" a="1"/>
  <c r="G33" i="9" s="1"/>
  <c r="N18" i="9" a="1"/>
  <c r="N18" i="9" s="1"/>
  <c r="H27" i="9" a="1"/>
  <c r="H27" i="9" s="1"/>
  <c r="G27" i="9" a="1"/>
  <c r="G27" i="9" s="1"/>
  <c r="F27" i="9" a="1"/>
  <c r="F27" i="9" s="1"/>
  <c r="I26" i="9" a="1"/>
  <c r="I26" i="9" s="1"/>
  <c r="G24" i="9" a="1"/>
  <c r="G24" i="9" s="1"/>
  <c r="I33" i="9" a="1"/>
  <c r="I33" i="9" s="1"/>
  <c r="F24" i="9" a="1"/>
  <c r="F24" i="9" s="1"/>
  <c r="H29" i="9" a="1"/>
  <c r="H29" i="9" s="1"/>
  <c r="D31" i="9" a="1"/>
  <c r="D31" i="9" s="1"/>
  <c r="E27" i="9" a="1"/>
  <c r="E27" i="9" s="1"/>
  <c r="J27" i="9" s="1"/>
  <c r="I27" i="9" a="1"/>
  <c r="I27" i="9" s="1"/>
  <c r="D26" i="9" a="1"/>
  <c r="D26" i="9" s="1"/>
  <c r="H23" i="9" a="1"/>
  <c r="H23" i="9" s="1"/>
  <c r="W65" i="9"/>
  <c r="I22" i="9" a="1"/>
  <c r="I22" i="9" s="1"/>
  <c r="H26" i="9" a="1"/>
  <c r="H26" i="9" s="1"/>
  <c r="H24" i="9" a="1"/>
  <c r="H24" i="9" s="1"/>
  <c r="I24" i="9" a="1"/>
  <c r="I24" i="9" s="1"/>
  <c r="E33" i="9" a="1"/>
  <c r="E33" i="9" s="1"/>
  <c r="J33" i="9" s="1"/>
  <c r="E29" i="9" a="1"/>
  <c r="E29" i="9" s="1"/>
  <c r="J29" i="9" s="1"/>
  <c r="H32" i="9" a="1"/>
  <c r="H32" i="9" s="1"/>
  <c r="D19" i="9" a="1"/>
  <c r="D19" i="9" s="1"/>
  <c r="F32" i="9" a="1"/>
  <c r="F32" i="9" s="1"/>
  <c r="E23" i="9" a="1"/>
  <c r="E23" i="9" s="1"/>
  <c r="J23" i="9" s="1"/>
  <c r="E30" i="9" a="1"/>
  <c r="E30" i="9" s="1"/>
  <c r="K30" i="9" s="1"/>
  <c r="F19" i="9" a="1"/>
  <c r="F19" i="9" s="1"/>
  <c r="F23" i="9" a="1"/>
  <c r="F23" i="9" s="1"/>
  <c r="G32" i="9" a="1"/>
  <c r="G32" i="9" s="1"/>
  <c r="G23" i="9" a="1"/>
  <c r="G23" i="9" s="1"/>
  <c r="Q19" i="9" a="1"/>
  <c r="Q19" i="9" s="1"/>
  <c r="P20" i="9" a="1"/>
  <c r="P20" i="9" s="1"/>
  <c r="S21" i="9" a="1"/>
  <c r="S21" i="9" s="1"/>
  <c r="R22" i="9" a="1"/>
  <c r="R22" i="9" s="1"/>
  <c r="Q23" i="9" a="1"/>
  <c r="Q23" i="9" s="1"/>
  <c r="F29" i="9" a="1"/>
  <c r="F29" i="9" s="1"/>
  <c r="D29" i="9" a="1"/>
  <c r="D29" i="9" s="1"/>
  <c r="E19" i="9" a="1"/>
  <c r="E19" i="9" s="1"/>
  <c r="K19" i="9" s="1"/>
  <c r="H19" i="9" a="1"/>
  <c r="H19" i="9" s="1"/>
  <c r="G30" i="9" a="1"/>
  <c r="G30" i="9" s="1"/>
  <c r="I19" i="9" a="1"/>
  <c r="I19" i="9" s="1"/>
  <c r="F30" i="9" a="1"/>
  <c r="F30" i="9" s="1"/>
  <c r="I23" i="9" a="1"/>
  <c r="I23" i="9" s="1"/>
  <c r="H25" i="9" a="1"/>
  <c r="H25" i="9" s="1"/>
  <c r="G29" i="9" a="1"/>
  <c r="G29" i="9" s="1"/>
  <c r="H30" i="9" a="1"/>
  <c r="H30" i="9" s="1"/>
  <c r="T24" i="9" a="1"/>
  <c r="T24" i="9" s="1"/>
  <c r="Q25" i="9" a="1"/>
  <c r="Q25" i="9" s="1"/>
  <c r="V25" i="9" s="1"/>
  <c r="V53" i="9"/>
  <c r="V38" i="9"/>
  <c r="W44" i="9"/>
  <c r="V57" i="9"/>
  <c r="W50" i="9"/>
  <c r="V43" i="9"/>
  <c r="V52" i="9"/>
  <c r="V37" i="9"/>
  <c r="W47" i="9"/>
  <c r="V63" i="9"/>
  <c r="V40" i="9"/>
  <c r="W60" i="9"/>
  <c r="U33" i="9" a="1"/>
  <c r="U33" i="9" s="1"/>
  <c r="V49" i="9"/>
  <c r="V41" i="9"/>
  <c r="R33" i="9" a="1"/>
  <c r="R33" i="9" s="1"/>
  <c r="W34" i="9"/>
  <c r="S33" i="9" a="1"/>
  <c r="S33" i="9" s="1"/>
  <c r="T33" i="9" a="1"/>
  <c r="T33" i="9" s="1"/>
  <c r="W48" i="9"/>
  <c r="T28" i="9" a="1"/>
  <c r="T28" i="9" s="1"/>
  <c r="W35" i="9"/>
  <c r="V28" i="9"/>
  <c r="V66" i="9"/>
  <c r="V59" i="9"/>
  <c r="R28" i="9" a="1"/>
  <c r="R28" i="9" s="1"/>
  <c r="U28" i="9" a="1"/>
  <c r="U28" i="9" s="1"/>
  <c r="S28" i="9" a="1"/>
  <c r="S28" i="9" s="1"/>
  <c r="U26" i="9" a="1"/>
  <c r="U26" i="9" s="1"/>
  <c r="V33" i="9"/>
  <c r="Q26" i="9" a="1"/>
  <c r="Q26" i="9" s="1"/>
  <c r="V26" i="9" s="1"/>
  <c r="P28" i="9" a="1"/>
  <c r="P28" i="9" s="1"/>
  <c r="W62" i="9"/>
  <c r="E22" i="9" a="1"/>
  <c r="E22" i="9" s="1"/>
  <c r="K22" i="9" s="1"/>
  <c r="S27" i="9" a="1"/>
  <c r="S27" i="9" s="1"/>
  <c r="R26" i="9" a="1"/>
  <c r="R26" i="9" s="1"/>
  <c r="P29" i="9" a="1"/>
  <c r="P29" i="9" s="1"/>
  <c r="T29" i="9" a="1"/>
  <c r="T29" i="9" s="1"/>
  <c r="S29" i="9" a="1"/>
  <c r="S29" i="9" s="1"/>
  <c r="U29" i="9" a="1"/>
  <c r="U29" i="9" s="1"/>
  <c r="R29" i="9" a="1"/>
  <c r="R29" i="9" s="1"/>
  <c r="F21" i="9" a="1"/>
  <c r="F21" i="9" s="1"/>
  <c r="G21" i="9" a="1"/>
  <c r="G21" i="9" s="1"/>
  <c r="F28" i="9" a="1"/>
  <c r="F28" i="9" s="1"/>
  <c r="D33" i="9" a="1"/>
  <c r="D33" i="9" s="1"/>
  <c r="D22" i="9" a="1"/>
  <c r="D22" i="9" s="1"/>
  <c r="E20" i="9" a="1"/>
  <c r="E20" i="9" s="1"/>
  <c r="J20" i="9" s="1"/>
  <c r="W30" i="9"/>
  <c r="V32" i="9"/>
  <c r="W32" i="9"/>
  <c r="K31" i="9"/>
  <c r="E26" i="9" a="1"/>
  <c r="E26" i="9" s="1"/>
  <c r="S26" i="9" a="1"/>
  <c r="S26" i="9" s="1"/>
  <c r="B5" i="9"/>
  <c r="C5" i="9" s="1"/>
  <c r="D28" i="9" a="1"/>
  <c r="D28" i="9" s="1"/>
  <c r="I31" i="9" a="1"/>
  <c r="I31" i="9" s="1"/>
  <c r="Q27" i="9" a="1"/>
  <c r="Q27" i="9" s="1"/>
  <c r="T27" i="9" a="1"/>
  <c r="T27" i="9" s="1"/>
  <c r="P27" i="9" a="1"/>
  <c r="P27" i="9" s="1"/>
  <c r="T26" i="9" a="1"/>
  <c r="T26" i="9" s="1"/>
  <c r="E28" i="9" a="1"/>
  <c r="E28" i="9" s="1"/>
  <c r="J28" i="9" s="1"/>
  <c r="H28" i="9" a="1"/>
  <c r="H28" i="9" s="1"/>
  <c r="E25" i="9" a="1"/>
  <c r="E25" i="9" s="1"/>
  <c r="J25" i="9" s="1"/>
  <c r="F26" i="9" a="1"/>
  <c r="F26" i="9" s="1"/>
  <c r="H21" i="9" a="1"/>
  <c r="H21" i="9" s="1"/>
  <c r="G25" i="9" a="1"/>
  <c r="G25" i="9" s="1"/>
  <c r="F31" i="9" a="1"/>
  <c r="F31" i="9" s="1"/>
  <c r="H22" i="9" a="1"/>
  <c r="H22" i="9" s="1"/>
  <c r="I21" i="9" a="1"/>
  <c r="I21" i="9" s="1"/>
  <c r="D20" i="9" a="1"/>
  <c r="D20" i="9" s="1"/>
  <c r="G20" i="9" a="1"/>
  <c r="G20" i="9" s="1"/>
  <c r="U27" i="9" a="1"/>
  <c r="U27" i="9" s="1"/>
  <c r="F22" i="9" a="1"/>
  <c r="F22" i="9" s="1"/>
  <c r="D25" i="9" a="1"/>
  <c r="D25" i="9" s="1"/>
  <c r="F20" i="9" a="1"/>
  <c r="F20" i="9" s="1"/>
  <c r="G28" i="9" a="1"/>
  <c r="G28" i="9" s="1"/>
  <c r="I20" i="9" a="1"/>
  <c r="I20" i="9" s="1"/>
  <c r="E24" i="9" a="1"/>
  <c r="E24" i="9" s="1"/>
  <c r="V46" i="9"/>
  <c r="W31" i="9"/>
  <c r="W56" i="9"/>
  <c r="W51" i="9"/>
  <c r="V51" i="9"/>
  <c r="V64" i="9"/>
  <c r="W64" i="9"/>
  <c r="V45" i="9"/>
  <c r="W45" i="9"/>
  <c r="V29" i="9"/>
  <c r="W29" i="9"/>
  <c r="W58" i="9"/>
  <c r="V58" i="9"/>
  <c r="V67" i="9"/>
  <c r="W67" i="9"/>
  <c r="V39" i="9"/>
  <c r="W39" i="9"/>
  <c r="W61" i="9"/>
  <c r="V61" i="9"/>
  <c r="V42" i="9"/>
  <c r="W42" i="9"/>
  <c r="K33" i="9"/>
  <c r="K23" i="9"/>
  <c r="J30" i="9"/>
  <c r="J21" i="9"/>
  <c r="K21" i="9"/>
  <c r="K18" i="9"/>
  <c r="J18" i="9"/>
  <c r="J32" i="9" l="1"/>
  <c r="K29" i="9"/>
  <c r="K27" i="9"/>
  <c r="J22" i="9"/>
  <c r="K28" i="9"/>
  <c r="K25" i="9"/>
  <c r="J19" i="9"/>
  <c r="P25" i="9" a="1"/>
  <c r="P25" i="9" s="1"/>
  <c r="R24" i="9" a="1"/>
  <c r="R24" i="9" s="1"/>
  <c r="U24" i="9" a="1"/>
  <c r="U24" i="9" s="1"/>
  <c r="R19" i="9" a="1"/>
  <c r="R19" i="9" s="1"/>
  <c r="R23" i="9" a="1"/>
  <c r="R23" i="9" s="1"/>
  <c r="T23" i="9" a="1"/>
  <c r="T23" i="9" s="1"/>
  <c r="U20" i="9" a="1"/>
  <c r="U20" i="9" s="1"/>
  <c r="T25" i="9" a="1"/>
  <c r="T25" i="9" s="1"/>
  <c r="P21" i="9" a="1"/>
  <c r="P21" i="9" s="1"/>
  <c r="S25" i="9" a="1"/>
  <c r="S25" i="9" s="1"/>
  <c r="U19" i="9" a="1"/>
  <c r="U19" i="9" s="1"/>
  <c r="T19" i="9" a="1"/>
  <c r="T19" i="9" s="1"/>
  <c r="U23" i="9" a="1"/>
  <c r="U23" i="9" s="1"/>
  <c r="U25" i="9" a="1"/>
  <c r="U25" i="9" s="1"/>
  <c r="T20" i="9" a="1"/>
  <c r="T20" i="9" s="1"/>
  <c r="S20" i="9" a="1"/>
  <c r="S20" i="9" s="1"/>
  <c r="Q21" i="9" a="1"/>
  <c r="Q21" i="9" s="1"/>
  <c r="V21" i="9" s="1"/>
  <c r="T22" i="9" a="1"/>
  <c r="T22" i="9" s="1"/>
  <c r="P22" i="9" a="1"/>
  <c r="P22" i="9" s="1"/>
  <c r="T21" i="9" a="1"/>
  <c r="T21" i="9" s="1"/>
  <c r="Q22" i="9" a="1"/>
  <c r="Q22" i="9" s="1"/>
  <c r="R21" i="9" a="1"/>
  <c r="R21" i="9" s="1"/>
  <c r="U22" i="9" a="1"/>
  <c r="U22" i="9" s="1"/>
  <c r="R25" i="9" a="1"/>
  <c r="R25" i="9" s="1"/>
  <c r="P24" i="9" a="1"/>
  <c r="P24" i="9" s="1"/>
  <c r="S24" i="9" a="1"/>
  <c r="S24" i="9" s="1"/>
  <c r="P19" i="9" a="1"/>
  <c r="P19" i="9" s="1"/>
  <c r="Q20" i="9" a="1"/>
  <c r="Q20" i="9" s="1"/>
  <c r="V20" i="9" s="1"/>
  <c r="S22" i="9" a="1"/>
  <c r="S22" i="9" s="1"/>
  <c r="V19" i="9"/>
  <c r="W19" i="9"/>
  <c r="V23" i="9"/>
  <c r="W23" i="9"/>
  <c r="Q24" i="9" a="1"/>
  <c r="Q24" i="9" s="1"/>
  <c r="S19" i="9" a="1"/>
  <c r="S19" i="9" s="1"/>
  <c r="R20" i="9" a="1"/>
  <c r="R20" i="9" s="1"/>
  <c r="P23" i="9" a="1"/>
  <c r="P23" i="9" s="1"/>
  <c r="S23" i="9" a="1"/>
  <c r="S23" i="9" s="1"/>
  <c r="U21" i="9" a="1"/>
  <c r="U21" i="9" s="1"/>
  <c r="D5" i="9"/>
  <c r="E5" i="9" s="1"/>
  <c r="W25" i="9"/>
  <c r="W26" i="9"/>
  <c r="V27" i="9"/>
  <c r="W27" i="9"/>
  <c r="K20" i="9"/>
  <c r="K24" i="9"/>
  <c r="J24" i="9"/>
  <c r="K26" i="9"/>
  <c r="J26" i="9"/>
  <c r="W21" i="9" l="1"/>
  <c r="W22" i="9"/>
  <c r="V22" i="9"/>
  <c r="W20" i="9"/>
  <c r="U18" i="9" a="1"/>
  <c r="U18" i="9" s="1"/>
  <c r="Q18" i="9" a="1"/>
  <c r="Q18" i="9" s="1"/>
  <c r="S18" i="9" a="1"/>
  <c r="S18" i="9" s="1"/>
  <c r="R18" i="9" a="1"/>
  <c r="R18" i="9" s="1"/>
  <c r="T18" i="9" a="1"/>
  <c r="T18" i="9" s="1"/>
  <c r="P18" i="9" a="1"/>
  <c r="P18" i="9" s="1"/>
  <c r="W24" i="9"/>
  <c r="V24" i="9"/>
  <c r="V18" i="9" l="1"/>
  <c r="W18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<sst xmlns="http://schemas.openxmlformats.org/spreadsheetml/2006/main" count="829" uniqueCount="155">
  <si>
    <t>File</t>
  </si>
  <si>
    <t>Batch</t>
  </si>
  <si>
    <t>Water Level</t>
  </si>
  <si>
    <t>Draft</t>
  </si>
  <si>
    <t>Wind Speed</t>
  </si>
  <si>
    <t>Current</t>
  </si>
  <si>
    <t>Trim</t>
  </si>
  <si>
    <t>Bottom Clearance</t>
  </si>
  <si>
    <t>Current Direction</t>
  </si>
  <si>
    <t>Wind Direction</t>
  </si>
  <si>
    <t>14kTEU - 6 WINCHES - CASE 1.RTF</t>
  </si>
  <si>
    <t>130° True -50° Screen Right</t>
  </si>
  <si>
    <t>All°</t>
  </si>
  <si>
    <t>Fender</t>
  </si>
  <si>
    <t>Thrust</t>
  </si>
  <si>
    <t>Compression</t>
  </si>
  <si>
    <t>Pressure</t>
  </si>
  <si>
    <t>Flatside Area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</si>
  <si>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</si>
  <si>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</si>
  <si>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</si>
  <si>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</si>
  <si>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</si>
  <si>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</si>
  <si>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</si>
  <si>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</si>
  <si>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</si>
  <si>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</si>
  <si>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</si>
  <si>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</si>
  <si>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</si>
  <si>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</si>
  <si>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Line</t>
  </si>
  <si>
    <t>Pull-in</t>
  </si>
  <si>
    <t>Tot. Line Length</t>
  </si>
  <si>
    <t>In-Line Motion</t>
  </si>
  <si>
    <t>Winch Slip</t>
  </si>
  <si>
    <t>Worst Direction to Screen</t>
  </si>
  <si>
    <t>Worst Direction to True North</t>
  </si>
  <si>
    <t>Line Tension</t>
  </si>
  <si>
    <t>Percent Strength</t>
  </si>
  <si>
    <t>1-B</t>
  </si>
  <si>
    <t>2-A</t>
  </si>
  <si>
    <t>3-A</t>
  </si>
  <si>
    <t>4-A</t>
  </si>
  <si>
    <t>5-B</t>
  </si>
  <si>
    <t>6-B</t>
  </si>
  <si>
    <t>12-G</t>
  </si>
  <si>
    <t>13-G</t>
  </si>
  <si>
    <t>14-*A</t>
  </si>
  <si>
    <t>15-*A</t>
  </si>
  <si>
    <t>16-*F</t>
  </si>
  <si>
    <t>17-*F</t>
  </si>
  <si>
    <t>18-*F</t>
  </si>
  <si>
    <t>19-*E</t>
  </si>
  <si>
    <t>20-*E</t>
  </si>
  <si>
    <t>21-*E</t>
  </si>
  <si>
    <t>Hook/Bollard</t>
  </si>
  <si>
    <t>X-Force</t>
  </si>
  <si>
    <t>Y-Force</t>
  </si>
  <si>
    <t>Total Force</t>
  </si>
  <si>
    <t>% Strength</t>
  </si>
  <si>
    <t>Direction</t>
  </si>
  <si>
    <t>Uplift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</si>
  <si>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</si>
  <si>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</si>
  <si>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</si>
  <si>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</si>
  <si>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</si>
  <si>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</si>
  <si>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</si>
  <si>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</si>
  <si>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</si>
  <si>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</si>
  <si>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</si>
  <si>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</si>
  <si>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</si>
  <si>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</si>
  <si>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</si>
  <si>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</si>
  <si>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</si>
  <si>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</si>
  <si>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</si>
  <si>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</si>
  <si>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</si>
  <si>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</si>
  <si>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</si>
  <si>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</si>
  <si>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</si>
  <si>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</si>
  <si>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*A</t>
  </si>
  <si>
    <t>*B</t>
  </si>
  <si>
    <t>*C</t>
  </si>
  <si>
    <t>*D</t>
  </si>
  <si>
    <t>*E</t>
  </si>
  <si>
    <t>*F</t>
  </si>
  <si>
    <t>*G</t>
  </si>
  <si>
    <t>*H</t>
  </si>
  <si>
    <t>*I</t>
  </si>
  <si>
    <t>*J</t>
  </si>
  <si>
    <t>*K</t>
  </si>
  <si>
    <t>*L</t>
  </si>
  <si>
    <t>*M</t>
  </si>
  <si>
    <t>*N</t>
  </si>
  <si>
    <t>*O</t>
  </si>
  <si>
    <t>*P</t>
  </si>
  <si>
    <t>*Q</t>
  </si>
  <si>
    <t>*R</t>
  </si>
  <si>
    <t>*S</t>
  </si>
  <si>
    <t>*T</t>
  </si>
  <si>
    <t>*U</t>
  </si>
  <si>
    <t>*V</t>
  </si>
  <si>
    <t>*W</t>
  </si>
  <si>
    <t>*X</t>
  </si>
  <si>
    <t>*Y</t>
  </si>
  <si>
    <t>*Z</t>
  </si>
  <si>
    <t>Excursion Type</t>
  </si>
  <si>
    <t>Highest Excursion</t>
  </si>
  <si>
    <t>Wind Screen Direction</t>
  </si>
  <si>
    <t>Current Speed</t>
  </si>
  <si>
    <t>Current Screen Direction</t>
  </si>
  <si>
    <t>Wave Ht</t>
  </si>
  <si>
    <t>Wave True Direction</t>
  </si>
  <si>
    <t>Wave Period</t>
  </si>
  <si>
    <t>Offset</t>
  </si>
  <si>
    <t>Batch Run no</t>
  </si>
  <si>
    <t>Long</t>
  </si>
  <si>
    <t>Trans</t>
  </si>
  <si>
    <t>Highest Loading</t>
  </si>
  <si>
    <t>Bollard</t>
  </si>
  <si>
    <t>Force</t>
  </si>
  <si>
    <t>MOORING ANALYSIS SUMMARY</t>
  </si>
  <si>
    <t>Critical Line</t>
  </si>
  <si>
    <t>Critical Bollard</t>
  </si>
  <si>
    <t>Mooring Line</t>
  </si>
  <si>
    <t>Envelope Line Tension</t>
  </si>
  <si>
    <t>Worst Dir Screen</t>
  </si>
  <si>
    <t>Worst Dir True North</t>
  </si>
  <si>
    <t>Line Length</t>
  </si>
  <si>
    <t>Envelope lực trên từng bollard / hook</t>
  </si>
  <si>
    <t>Bollard / Hook</t>
  </si>
  <si>
    <t>Envelope Total Force</t>
  </si>
  <si>
    <t>Import_DATA = thay thế data. Append_DATA = nối thêm data. Clear_All_DATA = xóa toàn bộ data từ row 2 trong các sheet dữ liệu. Gán macro tương ứng cho từng nút.</t>
  </si>
  <si>
    <t>No.</t>
  </si>
  <si>
    <t>Max</t>
  </si>
  <si>
    <t>Max Bollard Force, t</t>
  </si>
  <si>
    <t>Max Line Tension, t</t>
  </si>
  <si>
    <t>Import data từ file report batch run</t>
  </si>
  <si>
    <t>Envelope lực trên từng mooring line</t>
  </si>
  <si>
    <t>Envelope summary from full workbook data</t>
  </si>
  <si>
    <t>U%</t>
  </si>
  <si>
    <t>Allowable, t/m2</t>
  </si>
  <si>
    <t>Draft
m</t>
  </si>
  <si>
    <r>
      <t>Allowable
t/m</t>
    </r>
    <r>
      <rPr>
        <b/>
        <vertAlign val="superscript"/>
        <sz val="11"/>
        <color theme="0"/>
        <rFont val="Calibri"/>
        <family val="2"/>
        <scheme val="minor"/>
      </rPr>
      <t>2</t>
    </r>
  </si>
  <si>
    <r>
      <t>Envelope Pressure
t/m</t>
    </r>
    <r>
      <rPr>
        <b/>
        <vertAlign val="superscript"/>
        <sz val="11"/>
        <color theme="0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</si>
</sst>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44546A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1F4E78"/>
      <name val="Calibri"/>
      <family val="2"/>
      <scheme val="minor"/>
    </font>
    <font>
      <b/>
      <sz val="18"/>
      <color rgb="FFFFFFFF"/>
      <name val="Calibri"/>
      <scheme val="minor"/>
    </font>
    <font>
      <sz val="11"/>
      <color theme="1"/>
      <name val="Calibri"/>
      <scheme val="minor"/>
    </font>
    <font>
      <b/>
      <sz val="11"/>
      <color rgb="FFFFFFFF"/>
      <name val="Calibri"/>
      <scheme val="minor"/>
    </font>
    <font>
      <b/>
      <sz val="13"/>
      <color theme="1"/>
      <name val="Calibri"/>
      <scheme val="minor"/>
    </font>
    <font>
      <b/>
      <sz val="14"/>
      <color rgb="FF1F4E78"/>
      <name val="Calibri"/>
      <scheme val="minor"/>
    </font>
    <font>
      <i/>
      <sz val="11"/>
      <color rgb="FF666666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2E4F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CBD7D"/>
        <bgColor indexed="64"/>
      </patternFill>
    </fill>
    <fill>
      <patternFill patternType="solid">
        <fgColor rgb="FFFAF2E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48235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6" tint="0.39997558519241921"/>
      </left>
      <right/>
      <top/>
      <bottom/>
      <diagonal/>
    </border>
    <border>
      <left/>
      <right style="thin">
        <color theme="6" tint="0.39997558519241921"/>
      </right>
      <top/>
      <bottom/>
      <diagonal/>
    </border>
    <border>
      <left style="thin">
        <color rgb="FFBDDECC"/>
      </left>
      <right style="thin">
        <color rgb="FFBDDECC"/>
      </right>
      <top style="thin">
        <color rgb="FFBDDECC"/>
      </top>
      <bottom style="thin">
        <color rgb="FFBDDECC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wrapText="1"/>
    </xf>
    <xf numFmtId="0" fontId="9" fillId="2" borderId="0" xfId="0" applyFont="1" applyFill="1"/>
    <xf numFmtId="0" fontId="10" fillId="2" borderId="0" xfId="0" applyFont="1" applyFill="1"/>
    <xf numFmtId="0" fontId="10" fillId="0" borderId="0" xfId="0" applyFont="1" applyAlignment="1">
      <alignment wrapText="1"/>
    </xf>
    <xf numFmtId="0" fontId="10" fillId="0" borderId="0" xfId="0" applyFont="1"/>
    <xf numFmtId="0" fontId="13" fillId="0" borderId="0" xfId="0" applyFont="1"/>
    <xf numFmtId="0" fontId="14" fillId="0" borderId="2" xfId="0" applyFont="1" applyBorder="1" applyAlignment="1">
      <alignment horizontal="center" wrapText="1"/>
    </xf>
    <xf numFmtId="0" fontId="14" fillId="0" borderId="0" xfId="0" applyFont="1" applyBorder="1" applyAlignment="1">
      <alignment horizontal="center" wrapText="1"/>
    </xf>
    <xf numFmtId="164" fontId="0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0" fontId="7" fillId="3" borderId="6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164" fontId="12" fillId="4" borderId="6" xfId="0" applyNumberFormat="1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5" fillId="0" borderId="0" xfId="0" applyFont="1"/>
    <xf numFmtId="0" fontId="14" fillId="0" borderId="0" xfId="0" applyFont="1" applyBorder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8" fillId="0" borderId="0" xfId="0" applyFont="1"/>
    <xf numFmtId="0" fontId="3" fillId="3" borderId="6" xfId="0" applyFont="1" applyFill="1" applyBorder="1" applyAlignment="1">
      <alignment horizontal="center" vertical="center" wrapText="1"/>
    </xf>
    <xf numFmtId="0" fontId="16" fillId="4" borderId="6" xfId="0" applyFont="1" applyFill="1" applyBorder="1" applyAlignment="1">
      <alignment horizontal="center" vertical="center"/>
    </xf>
    <xf numFmtId="0" fontId="16" fillId="4" borderId="6" xfId="1" applyNumberFormat="1" applyFont="1" applyFill="1" applyBorder="1" applyAlignment="1">
      <alignment horizontal="center" vertical="center"/>
    </xf>
    <xf numFmtId="9" fontId="16" fillId="4" borderId="6" xfId="1" applyFont="1" applyFill="1" applyBorder="1" applyAlignment="1">
      <alignment horizontal="center" vertical="center"/>
    </xf>
    <xf numFmtId="9" fontId="16" fillId="4" borderId="6" xfId="0" applyNumberFormat="1" applyFont="1" applyFill="1" applyBorder="1" applyAlignment="1">
      <alignment horizontal="center" vertical="center"/>
    </xf>
    <xf numFmtId="0" fontId="16" fillId="4" borderId="6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" fillId="0" borderId="7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/>
              <a:t>Envelope Line Tension by Mooring 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SUMMARY!$C$17</c:f>
              <c:strCache>
                <c:ptCount val="1"/>
                <c:pt idx="0">
                  <c:v>Envelope Line Tension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SUMMARY!$B$18:$B$33</c:f>
              <c:strCache>
                <c:ptCount val="16"/>
                <c:pt idx="0">
                  <c:v>1-B</c:v>
                </c:pt>
                <c:pt idx="1">
                  <c:v>2-A</c:v>
                </c:pt>
                <c:pt idx="2">
                  <c:v>3-A</c:v>
                </c:pt>
                <c:pt idx="3">
                  <c:v>4-A</c:v>
                </c:pt>
                <c:pt idx="4">
                  <c:v>5-B</c:v>
                </c:pt>
                <c:pt idx="5">
                  <c:v>6-B</c:v>
                </c:pt>
                <c:pt idx="6">
                  <c:v>12-G</c:v>
                </c:pt>
                <c:pt idx="7">
                  <c:v>13-G</c:v>
                </c:pt>
                <c:pt idx="8">
                  <c:v>14-*A</c:v>
                </c:pt>
                <c:pt idx="9">
                  <c:v>15-*A</c:v>
                </c:pt>
                <c:pt idx="10">
                  <c:v>16-*F</c:v>
                </c:pt>
                <c:pt idx="11">
                  <c:v>17-*F</c:v>
                </c:pt>
                <c:pt idx="12">
                  <c:v>18-*F</c:v>
                </c:pt>
                <c:pt idx="13">
                  <c:v>19-*E</c:v>
                </c:pt>
                <c:pt idx="14">
                  <c:v>20-*E</c:v>
                </c:pt>
                <c:pt idx="15">
                  <c:v>21-*E</c:v>
                </c:pt>
              </c:strCache>
            </c:strRef>
          </c:cat>
          <c:val>
            <c:numRef>
              <c:f>SUMMARY!$C$18:$C$33</c:f>
              <c:numCache>
                <c:formatCode>General</c:formatCode>
                <c:ptCount val="16"/>
                <c:pt idx="0">
                  <c:v>36.1</c:v>
                </c:pt>
                <c:pt idx="1">
                  <c:v>51.3</c:v>
                </c:pt>
                <c:pt idx="2">
                  <c:v>52.1</c:v>
                </c:pt>
                <c:pt idx="3">
                  <c:v>53.1</c:v>
                </c:pt>
                <c:pt idx="4">
                  <c:v>56.9</c:v>
                </c:pt>
                <c:pt idx="5">
                  <c:v>59.2</c:v>
                </c:pt>
                <c:pt idx="6">
                  <c:v>22.5</c:v>
                </c:pt>
                <c:pt idx="7">
                  <c:v>24.4</c:v>
                </c:pt>
                <c:pt idx="8">
                  <c:v>31.6</c:v>
                </c:pt>
                <c:pt idx="9">
                  <c:v>27.6</c:v>
                </c:pt>
                <c:pt idx="10">
                  <c:v>61.2</c:v>
                </c:pt>
                <c:pt idx="11">
                  <c:v>61</c:v>
                </c:pt>
                <c:pt idx="12">
                  <c:v>60.3</c:v>
                </c:pt>
                <c:pt idx="13">
                  <c:v>56.5</c:v>
                </c:pt>
                <c:pt idx="14">
                  <c:v>57.3</c:v>
                </c:pt>
                <c:pt idx="15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1-47BA-B671-53749275E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3148048"/>
        <c:axId val="783147088"/>
      </c:barChart>
      <c:catAx>
        <c:axId val="783148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Mooring 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3147088"/>
        <c:crosses val="autoZero"/>
        <c:auto val="1"/>
        <c:lblAlgn val="ctr"/>
        <c:lblOffset val="100"/>
        <c:noMultiLvlLbl val="0"/>
      </c:catAx>
      <c:valAx>
        <c:axId val="7831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Line Tension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314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/>
              <a:t>Envelope Total Force by Bollard / Hook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SUMMARY!$O$17</c:f>
              <c:strCache>
                <c:ptCount val="1"/>
                <c:pt idx="0">
                  <c:v>Envelope Total Force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SUMMARY!$N$18:$N$23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G</c:v>
                </c:pt>
                <c:pt idx="3">
                  <c:v>*A</c:v>
                </c:pt>
                <c:pt idx="4">
                  <c:v>*E</c:v>
                </c:pt>
                <c:pt idx="5">
                  <c:v>*F</c:v>
                </c:pt>
              </c:strCache>
            </c:strRef>
          </c:cat>
          <c:val>
            <c:numRef>
              <c:f>SUMMARY!$O$18:$O$23</c:f>
              <c:numCache>
                <c:formatCode>General</c:formatCode>
                <c:ptCount val="6"/>
                <c:pt idx="0">
                  <c:v>156.5</c:v>
                </c:pt>
                <c:pt idx="1">
                  <c:v>152.19999999999999</c:v>
                </c:pt>
                <c:pt idx="2">
                  <c:v>46.9</c:v>
                </c:pt>
                <c:pt idx="3">
                  <c:v>59</c:v>
                </c:pt>
                <c:pt idx="4">
                  <c:v>171.7</c:v>
                </c:pt>
                <c:pt idx="5">
                  <c:v>182.4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9-43CD-B97F-1018CF457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3024656"/>
        <c:axId val="773023216"/>
      </c:barChart>
      <c:catAx>
        <c:axId val="773024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Bollard / Hook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3023216"/>
        <c:crosses val="autoZero"/>
        <c:auto val="1"/>
        <c:lblAlgn val="ctr"/>
        <c:lblOffset val="100"/>
        <c:noMultiLvlLbl val="0"/>
      </c:catAx>
      <c:valAx>
        <c:axId val="77302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Total Force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30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/>
              <a:t>Envelope pressure</a:t>
            </a:r>
            <a:r>
              <a:rPr lang="en-US" sz="1200" baseline="0"/>
              <a:t> on fenders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SUMMARY!$AA$17</c:f>
              <c:strCache>
                <c:ptCount val="1"/>
                <c:pt idx="0">
                  <c:v>Envelope Pressure
t/m2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SUMMARY!$Z$18:$Z$31</c:f>
              <c:strCache>
                <c:ptCount val="14"/>
                <c:pt idx="0">
                  <c:v>dd</c:v>
                </c:pt>
                <c:pt idx="1">
                  <c:v>ee</c:v>
                </c:pt>
                <c:pt idx="2">
                  <c:v>ff</c:v>
                </c:pt>
                <c:pt idx="3">
                  <c:v>gg</c:v>
                </c:pt>
                <c:pt idx="4">
                  <c:v>hh</c:v>
                </c:pt>
                <c:pt idx="5">
                  <c:v>ii</c:v>
                </c:pt>
                <c:pt idx="6">
                  <c:v>jj</c:v>
                </c:pt>
                <c:pt idx="7">
                  <c:v>kk</c:v>
                </c:pt>
                <c:pt idx="8">
                  <c:v>ll</c:v>
                </c:pt>
                <c:pt idx="9">
                  <c:v>mm</c:v>
                </c:pt>
                <c:pt idx="10">
                  <c:v>nn</c:v>
                </c:pt>
                <c:pt idx="11">
                  <c:v>oo</c:v>
                </c:pt>
                <c:pt idx="12">
                  <c:v>pp</c:v>
                </c:pt>
                <c:pt idx="13">
                  <c:v>qq</c:v>
                </c:pt>
              </c:strCache>
            </c:strRef>
          </c:cat>
          <c:val>
            <c:numRef>
              <c:f>SUMMARY!$AA$18:$AA$31</c:f>
              <c:numCache>
                <c:formatCode>General</c:formatCode>
                <c:ptCount val="14"/>
                <c:pt idx="0">
                  <c:v>3.4</c:v>
                </c:pt>
                <c:pt idx="1">
                  <c:v>3.1</c:v>
                </c:pt>
                <c:pt idx="2">
                  <c:v>2.9</c:v>
                </c:pt>
                <c:pt idx="3">
                  <c:v>2.6</c:v>
                </c:pt>
                <c:pt idx="4">
                  <c:v>2.4</c:v>
                </c:pt>
                <c:pt idx="5">
                  <c:v>2.2000000000000002</c:v>
                </c:pt>
                <c:pt idx="6">
                  <c:v>2</c:v>
                </c:pt>
                <c:pt idx="7">
                  <c:v>2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2.5</c:v>
                </c:pt>
                <c:pt idx="11">
                  <c:v>2.7</c:v>
                </c:pt>
                <c:pt idx="12">
                  <c:v>2.9</c:v>
                </c:pt>
                <c:pt idx="13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72-4CDA-AAFB-52E2A3D3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3024656"/>
        <c:axId val="773023216"/>
      </c:barChart>
      <c:catAx>
        <c:axId val="773024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Fender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3023216"/>
        <c:crosses val="autoZero"/>
        <c:auto val="1"/>
        <c:lblAlgn val="ctr"/>
        <c:lblOffset val="100"/>
        <c:noMultiLvlLbl val="0"/>
      </c:catAx>
      <c:valAx>
        <c:axId val="77302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Pressure,</a:t>
                </a:r>
                <a:r>
                  <a:rPr lang="en-US" baseline="0">
                    <a:solidFill>
                      <a:sysClr val="windowText" lastClr="000000"/>
                    </a:solidFill>
                  </a:rPr>
                  <a:t> t/m2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30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11205</xdr:colOff>
      <xdr:row>5</xdr:row>
      <xdr:rowOff>170636</xdr:rowOff>
    </xdr:from>
    <xdr:to>
      <xdr:col>10</xdr:col>
      <xdr:colOff>617444</xdr:colOff>
      <xdr:row>14</xdr:row>
      <xdr:rowOff>207818</xdr:rowOff>
    </xdr:to>
    <xdr:graphicFrame macro="">
      <xdr:nvGraphicFramePr>
        <xdr:cNvPr id="8" name="Chart_Line_Envelope">
          <a:extLst>
            <a:ext uri="{FF2B5EF4-FFF2-40B4-BE49-F238E27FC236}">
              <a16:creationId xmlns:a16="http://schemas.microsoft.com/office/drawing/2014/main" id="{CD9E1C82-499D-EE4D-117C-B10A581A7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198285</xdr:colOff>
      <xdr:row>6</xdr:row>
      <xdr:rowOff>149679</xdr:rowOff>
    </xdr:from>
    <xdr:to>
      <xdr:col>22</xdr:col>
      <xdr:colOff>557893</xdr:colOff>
      <xdr:row>14</xdr:row>
      <xdr:rowOff>157100</xdr:rowOff>
    </xdr:to>
    <xdr:graphicFrame macro="">
      <xdr:nvGraphicFramePr>
        <xdr:cNvPr id="9" name="Chart_Bollard_Envelope">
          <a:extLst>
            <a:ext uri="{FF2B5EF4-FFF2-40B4-BE49-F238E27FC236}">
              <a16:creationId xmlns:a16="http://schemas.microsoft.com/office/drawing/2014/main" id="{4E84B6A1-56F7-665B-F3FA-8C54ADD0C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569259</xdr:colOff>
      <xdr:row>3</xdr:row>
      <xdr:rowOff>42022</xdr:rowOff>
    </xdr:from>
    <xdr:to>
      <xdr:col>7</xdr:col>
      <xdr:colOff>257174</xdr:colOff>
      <xdr:row>4</xdr:row>
      <xdr:rowOff>47625</xdr:rowOff>
    </xdr:to>
    <xdr:sp macro="[0]!Import_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C1AB271-2EFC-8595-162D-E6C2AB7F0DE0}"/>
            </a:ext>
          </a:extLst>
        </xdr:cNvPr>
        <xdr:cNvSpPr/>
      </xdr:nvSpPr>
      <xdr:spPr>
        <a:xfrm>
          <a:off x="4026834" y="718297"/>
          <a:ext cx="1059515" cy="56757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IMPORT</a:t>
          </a:r>
          <a:r>
            <a:rPr lang="en-US" sz="1100" b="1" baseline="0"/>
            <a:t> </a:t>
          </a:r>
          <a:r>
            <a:rPr lang="en-US" sz="1000" b="1" baseline="0"/>
            <a:t>DATA</a:t>
          </a:r>
          <a:endParaRPr lang="en-US" sz="1000" b="1"/>
        </a:p>
      </xdr:txBody>
    </xdr:sp>
    <xdr:clientData/>
  </xdr:twoCellAnchor>
  <xdr:twoCellAnchor>
    <xdr:from>
      <xdr:col>7</xdr:col>
      <xdr:colOff>503145</xdr:colOff>
      <xdr:row>3</xdr:row>
      <xdr:rowOff>56590</xdr:rowOff>
    </xdr:from>
    <xdr:to>
      <xdr:col>9</xdr:col>
      <xdr:colOff>195543</xdr:colOff>
      <xdr:row>4</xdr:row>
      <xdr:rowOff>38100</xdr:rowOff>
    </xdr:to>
    <xdr:sp macro="[0]!Append_DATA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FAAC84C-B7DC-4181-B673-E50960A0E5EF}"/>
            </a:ext>
          </a:extLst>
        </xdr:cNvPr>
        <xdr:cNvSpPr/>
      </xdr:nvSpPr>
      <xdr:spPr>
        <a:xfrm>
          <a:off x="5332320" y="732865"/>
          <a:ext cx="1063998" cy="54348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APPEND</a:t>
          </a:r>
          <a:r>
            <a:rPr lang="en-US" sz="1100" b="1"/>
            <a:t> DATA</a:t>
          </a:r>
        </a:p>
      </xdr:txBody>
    </xdr:sp>
    <xdr:clientData/>
  </xdr:twoCellAnchor>
  <xdr:twoCellAnchor>
    <xdr:from>
      <xdr:col>9</xdr:col>
      <xdr:colOff>482974</xdr:colOff>
      <xdr:row>3</xdr:row>
      <xdr:rowOff>53788</xdr:rowOff>
    </xdr:from>
    <xdr:to>
      <xdr:col>11</xdr:col>
      <xdr:colOff>257175</xdr:colOff>
      <xdr:row>4</xdr:row>
      <xdr:rowOff>0</xdr:rowOff>
    </xdr:to>
    <xdr:sp macro="[0]!Clear_All_DATA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400344D-911A-4286-9648-E26C89581687}"/>
            </a:ext>
          </a:extLst>
        </xdr:cNvPr>
        <xdr:cNvSpPr/>
      </xdr:nvSpPr>
      <xdr:spPr>
        <a:xfrm>
          <a:off x="6683749" y="730063"/>
          <a:ext cx="1145801" cy="508187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CLEAR</a:t>
          </a:r>
          <a:r>
            <a:rPr lang="en-US" sz="1000" b="1" baseline="0"/>
            <a:t> ALL DATA</a:t>
          </a:r>
          <a:endParaRPr lang="en-US" sz="1000" b="1"/>
        </a:p>
      </xdr:txBody>
    </xdr:sp>
    <xdr:clientData/>
  </xdr:twoCellAnchor>
  <xdr:twoCellAnchor>
    <xdr:from>
      <xdr:col>24</xdr:col>
      <xdr:colOff>114301</xdr:colOff>
      <xdr:row>7</xdr:row>
      <xdr:rowOff>40822</xdr:rowOff>
    </xdr:from>
    <xdr:to>
      <xdr:col>29</xdr:col>
      <xdr:colOff>0</xdr:colOff>
      <xdr:row>15</xdr:row>
      <xdr:rowOff>48244</xdr:rowOff>
    </xdr:to>
    <xdr:graphicFrame macro="">
      <xdr:nvGraphicFramePr>
        <xdr:cNvPr id="13" name="Chart_Bollard_Envelope">
          <a:extLst>
            <a:ext uri="{FF2B5EF4-FFF2-40B4-BE49-F238E27FC236}">
              <a16:creationId xmlns:a16="http://schemas.microsoft.com/office/drawing/2014/main" id="{7E8DC981-5B8A-45D8-8EF2-324220B05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B172-F920-4A83-B4A7-DDF8B5ACF446}">
  <sheetPr codeName="Sheet11">
    <tabColor rgb="FFC00000"/>
  </sheetPr>
  <dimension ref="A1:F65"/>
  <sheetViews>
    <sheetView workbookViewId="0">
      <selection activeCell="I5" sqref="I5"/>
    </sheetView>
  </sheetViews>
  <sheetFormatPr defaultRowHeight="15" x14ac:dyDescent="0.25"/>
  <sheetData>
    <row r="1" spans="1:6" x14ac:dyDescent="0.25">
      <c r="A1" s="18" t="s">
        <v>32</v>
      </c>
      <c r="B1" s="18" t="s">
        <v>144</v>
      </c>
      <c r="C1" s="18" t="s">
        <v>129</v>
      </c>
      <c r="D1" s="18" t="s">
        <v>144</v>
      </c>
      <c r="E1" s="18" t="s">
        <v>13</v>
      </c>
      <c r="F1" s="18" t="s">
        <v>144</v>
      </c>
    </row>
    <row r="2" spans="1:6" x14ac:dyDescent="0.25">
      <c r="A2" s="8" t="str" cm="1">
        <f t="array" ref="A2:A17">_xlfn.UNIQUE(_xlfn._xlws.FILTER(Line_Tensions!C2:C5000,Line_Tensions!C2:C5000&lt;&gt;""))</f>
        <v>1-B</v>
      </c>
      <c r="B2" s="8">
        <f>_xlfn.MAXIFS(Line_Tensions!$J$2:$J$5000,Line_Tensions!$C$2:$C$5000,Database!A2)</f>
        <v>36.1</v>
      </c>
      <c r="C2" t="str" cm="1">
        <f t="array" ref="C2:C53">_xlfn.UNIQUE(_xlfn._xlws.FILTER(Hook_Bollard_Forces!$C$2:$C$5000,Hook_Bollard_Forces!$C$2:$C$5000&lt;&gt;""))</f>
        <v>A</v>
      </c>
      <c r="D2" s="17">
        <f>_xlfn.MAXIFS(Hook_Bollard_Forces!$F$2:$F$5000,Hook_Bollard_Forces!$C$2:$C$5000,SUBSTITUTE(C2,"*","~*"))</f>
        <v>156.5</v>
      </c>
      <c r="E2" t="str" cm="1">
        <f t="array" ref="E2:E15">_xlfn.UNIQUE(_xlfn._xlws.FILTER(Fenders!C2:C5000,Fenders!C2:C5000&lt;&gt;""))</f>
        <v>dd</v>
      </c>
      <c r="F2">
        <f>+_xlfn.MAXIFS(Fenders!$F$2:$F$5000,Fenders!$C$2:$C$5000,Database!E2)</f>
        <v>3.4</v>
      </c>
    </row>
    <row r="3" spans="1:6" x14ac:dyDescent="0.25">
      <c r="A3" s="8" t="str">
        <v>2-A</v>
      </c>
      <c r="B3" s="8">
        <f>_xlfn.MAXIFS(Line_Tensions!$J$2:$J$5000,Line_Tensions!$C$2:$C$5000,Database!A3)</f>
        <v>51.3</v>
      </c>
      <c r="C3" t="str">
        <v>B</v>
      </c>
      <c r="D3" s="17">
        <f>_xlfn.MAXIFS(Hook_Bollard_Forces!$F$2:$F$5000,Hook_Bollard_Forces!$C$2:$C$5000,SUBSTITUTE(C3,"*","~*"))</f>
        <v>152.19999999999999</v>
      </c>
      <c r="E3" t="str">
        <v>ee</v>
      </c>
      <c r="F3">
        <f>+_xlfn.MAXIFS(Fenders!$F$2:$F$5000,Fenders!$C$2:$C$5000,Database!E3)</f>
        <v>3.1</v>
      </c>
    </row>
    <row r="4" spans="1:6" x14ac:dyDescent="0.25">
      <c r="A4" s="8" t="str">
        <v>3-A</v>
      </c>
      <c r="B4" s="8">
        <f>_xlfn.MAXIFS(Line_Tensions!$J$2:$J$5000,Line_Tensions!$C$2:$C$5000,Database!A4)</f>
        <v>52.1</v>
      </c>
      <c r="C4" t="str">
        <v>C</v>
      </c>
      <c r="D4" s="17">
        <f>_xlfn.MAXIFS(Hook_Bollard_Forces!$F$2:$F$5000,Hook_Bollard_Forces!$C$2:$C$5000,SUBSTITUTE(C4,"*","~*"))</f>
        <v>0</v>
      </c>
      <c r="E4" t="str">
        <v>ff</v>
      </c>
      <c r="F4">
        <f>+_xlfn.MAXIFS(Fenders!$F$2:$F$5000,Fenders!$C$2:$C$5000,Database!E4)</f>
        <v>2.9</v>
      </c>
    </row>
    <row r="5" spans="1:6" x14ac:dyDescent="0.25">
      <c r="A5" s="8" t="str">
        <v>4-A</v>
      </c>
      <c r="B5" s="8">
        <f>_xlfn.MAXIFS(Line_Tensions!$J$2:$J$5000,Line_Tensions!$C$2:$C$5000,Database!A5)</f>
        <v>53.1</v>
      </c>
      <c r="C5" t="str">
        <v>D</v>
      </c>
      <c r="D5" s="17">
        <f>_xlfn.MAXIFS(Hook_Bollard_Forces!$F$2:$F$5000,Hook_Bollard_Forces!$C$2:$C$5000,SUBSTITUTE(C5,"*","~*"))</f>
        <v>0</v>
      </c>
      <c r="E5" t="str">
        <v>gg</v>
      </c>
      <c r="F5">
        <f>+_xlfn.MAXIFS(Fenders!$F$2:$F$5000,Fenders!$C$2:$C$5000,Database!E5)</f>
        <v>2.6</v>
      </c>
    </row>
    <row r="6" spans="1:6" x14ac:dyDescent="0.25">
      <c r="A6" s="8" t="str">
        <v>5-B</v>
      </c>
      <c r="B6" s="8">
        <f>_xlfn.MAXIFS(Line_Tensions!$J$2:$J$5000,Line_Tensions!$C$2:$C$5000,Database!A6)</f>
        <v>56.9</v>
      </c>
      <c r="C6" t="str">
        <v>E</v>
      </c>
      <c r="D6" s="17">
        <f>_xlfn.MAXIFS(Hook_Bollard_Forces!$F$2:$F$5000,Hook_Bollard_Forces!$C$2:$C$5000,SUBSTITUTE(C6,"*","~*"))</f>
        <v>0</v>
      </c>
      <c r="E6" t="str">
        <v>hh</v>
      </c>
      <c r="F6">
        <f>+_xlfn.MAXIFS(Fenders!$F$2:$F$5000,Fenders!$C$2:$C$5000,Database!E6)</f>
        <v>2.4</v>
      </c>
    </row>
    <row r="7" spans="1:6" x14ac:dyDescent="0.25">
      <c r="A7" s="8" t="str">
        <v>6-B</v>
      </c>
      <c r="B7" s="8">
        <f>_xlfn.MAXIFS(Line_Tensions!$J$2:$J$5000,Line_Tensions!$C$2:$C$5000,Database!A7)</f>
        <v>59.2</v>
      </c>
      <c r="C7" t="str">
        <v>F</v>
      </c>
      <c r="D7" s="17">
        <f>_xlfn.MAXIFS(Hook_Bollard_Forces!$F$2:$F$5000,Hook_Bollard_Forces!$C$2:$C$5000,SUBSTITUTE(C7,"*","~*"))</f>
        <v>0</v>
      </c>
      <c r="E7" t="str">
        <v>ii</v>
      </c>
      <c r="F7">
        <f>+_xlfn.MAXIFS(Fenders!$F$2:$F$5000,Fenders!$C$2:$C$5000,Database!E7)</f>
        <v>2.2000000000000002</v>
      </c>
    </row>
    <row r="8" spans="1:6" x14ac:dyDescent="0.25">
      <c r="A8" s="8" t="str">
        <v>12-G</v>
      </c>
      <c r="B8" s="8">
        <f>_xlfn.MAXIFS(Line_Tensions!$J$2:$J$5000,Line_Tensions!$C$2:$C$5000,Database!A8)</f>
        <v>22.5</v>
      </c>
      <c r="C8" t="str">
        <v>G</v>
      </c>
      <c r="D8" s="17">
        <f>_xlfn.MAXIFS(Hook_Bollard_Forces!$F$2:$F$5000,Hook_Bollard_Forces!$C$2:$C$5000,SUBSTITUTE(C8,"*","~*"))</f>
        <v>46.9</v>
      </c>
      <c r="E8" t="str">
        <v>jj</v>
      </c>
      <c r="F8">
        <f>+_xlfn.MAXIFS(Fenders!$F$2:$F$5000,Fenders!$C$2:$C$5000,Database!E8)</f>
        <v>2</v>
      </c>
    </row>
    <row r="9" spans="1:6" x14ac:dyDescent="0.25">
      <c r="A9" s="8" t="str">
        <v>13-G</v>
      </c>
      <c r="B9" s="8">
        <f>_xlfn.MAXIFS(Line_Tensions!$J$2:$J$5000,Line_Tensions!$C$2:$C$5000,Database!A9)</f>
        <v>24.4</v>
      </c>
      <c r="C9" t="str">
        <v>H</v>
      </c>
      <c r="D9" s="17">
        <f>_xlfn.MAXIFS(Hook_Bollard_Forces!$F$2:$F$5000,Hook_Bollard_Forces!$C$2:$C$5000,SUBSTITUTE(C9,"*","~*"))</f>
        <v>0</v>
      </c>
      <c r="E9" t="str">
        <v>kk</v>
      </c>
      <c r="F9">
        <f>+_xlfn.MAXIFS(Fenders!$F$2:$F$5000,Fenders!$C$2:$C$5000,Database!E9)</f>
        <v>2</v>
      </c>
    </row>
    <row r="10" spans="1:6" x14ac:dyDescent="0.25">
      <c r="A10" s="8" t="str">
        <v>14-*A</v>
      </c>
      <c r="B10" s="8">
        <f>_xlfn.MAXIFS(Line_Tensions!$J$2:$J$5000,Line_Tensions!$C$2:$C$5000,Database!A10)</f>
        <v>31.6</v>
      </c>
      <c r="C10" t="str">
        <v>I</v>
      </c>
      <c r="D10" s="17">
        <f>_xlfn.MAXIFS(Hook_Bollard_Forces!$F$2:$F$5000,Hook_Bollard_Forces!$C$2:$C$5000,SUBSTITUTE(C10,"*","~*"))</f>
        <v>0</v>
      </c>
      <c r="E10" t="str">
        <v>ll</v>
      </c>
      <c r="F10">
        <f>+_xlfn.MAXIFS(Fenders!$F$2:$F$5000,Fenders!$C$2:$C$5000,Database!E10)</f>
        <v>2.2000000000000002</v>
      </c>
    </row>
    <row r="11" spans="1:6" x14ac:dyDescent="0.25">
      <c r="A11" s="8" t="str">
        <v>15-*A</v>
      </c>
      <c r="B11" s="8">
        <f>_xlfn.MAXIFS(Line_Tensions!$J$2:$J$5000,Line_Tensions!$C$2:$C$5000,Database!A11)</f>
        <v>27.6</v>
      </c>
      <c r="C11" t="str">
        <v>J</v>
      </c>
      <c r="D11" s="17">
        <f>_xlfn.MAXIFS(Hook_Bollard_Forces!$F$2:$F$5000,Hook_Bollard_Forces!$C$2:$C$5000,SUBSTITUTE(C11,"*","~*"))</f>
        <v>0</v>
      </c>
      <c r="E11" t="str">
        <v>mm</v>
      </c>
      <c r="F11">
        <f>+_xlfn.MAXIFS(Fenders!$F$2:$F$5000,Fenders!$C$2:$C$5000,Database!E11)</f>
        <v>2.2999999999999998</v>
      </c>
    </row>
    <row r="12" spans="1:6" x14ac:dyDescent="0.25">
      <c r="A12" s="8" t="str">
        <v>16-*F</v>
      </c>
      <c r="B12" s="8">
        <f>_xlfn.MAXIFS(Line_Tensions!$J$2:$J$5000,Line_Tensions!$C$2:$C$5000,Database!A12)</f>
        <v>61.2</v>
      </c>
      <c r="C12" t="str">
        <v>K</v>
      </c>
      <c r="D12" s="17">
        <f>_xlfn.MAXIFS(Hook_Bollard_Forces!$F$2:$F$5000,Hook_Bollard_Forces!$C$2:$C$5000,SUBSTITUTE(C12,"*","~*"))</f>
        <v>0</v>
      </c>
      <c r="E12" t="str">
        <v>nn</v>
      </c>
      <c r="F12">
        <f>+_xlfn.MAXIFS(Fenders!$F$2:$F$5000,Fenders!$C$2:$C$5000,Database!E12)</f>
        <v>2.5</v>
      </c>
    </row>
    <row r="13" spans="1:6" x14ac:dyDescent="0.25">
      <c r="A13" s="8" t="str">
        <v>17-*F</v>
      </c>
      <c r="B13" s="8">
        <f>_xlfn.MAXIFS(Line_Tensions!$J$2:$J$5000,Line_Tensions!$C$2:$C$5000,Database!A13)</f>
        <v>61</v>
      </c>
      <c r="C13" t="str">
        <v>L</v>
      </c>
      <c r="D13" s="17">
        <f>_xlfn.MAXIFS(Hook_Bollard_Forces!$F$2:$F$5000,Hook_Bollard_Forces!$C$2:$C$5000,SUBSTITUTE(C13,"*","~*"))</f>
        <v>0</v>
      </c>
      <c r="E13" t="str">
        <v>oo</v>
      </c>
      <c r="F13">
        <f>+_xlfn.MAXIFS(Fenders!$F$2:$F$5000,Fenders!$C$2:$C$5000,Database!E13)</f>
        <v>2.7</v>
      </c>
    </row>
    <row r="14" spans="1:6" x14ac:dyDescent="0.25">
      <c r="A14" s="8" t="str">
        <v>18-*F</v>
      </c>
      <c r="B14" s="8">
        <f>_xlfn.MAXIFS(Line_Tensions!$J$2:$J$5000,Line_Tensions!$C$2:$C$5000,Database!A14)</f>
        <v>60.3</v>
      </c>
      <c r="C14" t="str">
        <v>M</v>
      </c>
      <c r="D14" s="17">
        <f>_xlfn.MAXIFS(Hook_Bollard_Forces!$F$2:$F$5000,Hook_Bollard_Forces!$C$2:$C$5000,SUBSTITUTE(C14,"*","~*"))</f>
        <v>0</v>
      </c>
      <c r="E14" t="str">
        <v>pp</v>
      </c>
      <c r="F14">
        <f>+_xlfn.MAXIFS(Fenders!$F$2:$F$5000,Fenders!$C$2:$C$5000,Database!E14)</f>
        <v>2.9</v>
      </c>
    </row>
    <row r="15" spans="1:6" x14ac:dyDescent="0.25">
      <c r="A15" s="8" t="str">
        <v>19-*E</v>
      </c>
      <c r="B15" s="8">
        <f>_xlfn.MAXIFS(Line_Tensions!$J$2:$J$5000,Line_Tensions!$C$2:$C$5000,Database!A15)</f>
        <v>56.5</v>
      </c>
      <c r="C15" t="str">
        <v>N</v>
      </c>
      <c r="D15" s="17">
        <f>_xlfn.MAXIFS(Hook_Bollard_Forces!$F$2:$F$5000,Hook_Bollard_Forces!$C$2:$C$5000,SUBSTITUTE(C15,"*","~*"))</f>
        <v>0</v>
      </c>
      <c r="E15" t="str">
        <v>qq</v>
      </c>
      <c r="F15">
        <f>+_xlfn.MAXIFS(Fenders!$F$2:$F$5000,Fenders!$C$2:$C$5000,Database!E15)</f>
        <v>3.1</v>
      </c>
    </row>
    <row r="16" spans="1:6" x14ac:dyDescent="0.25">
      <c r="A16" s="8" t="str">
        <v>20-*E</v>
      </c>
      <c r="B16" s="8">
        <f>_xlfn.MAXIFS(Line_Tensions!$J$2:$J$5000,Line_Tensions!$C$2:$C$5000,Database!A16)</f>
        <v>57.3</v>
      </c>
      <c r="C16" t="str">
        <v>O</v>
      </c>
      <c r="D16" s="17">
        <f>_xlfn.MAXIFS(Hook_Bollard_Forces!$F$2:$F$5000,Hook_Bollard_Forces!$C$2:$C$5000,SUBSTITUTE(C16,"*","~*"))</f>
        <v>0</v>
      </c>
      <c r="F16">
        <f>+_xlfn.MAXIFS(Fenders!$F$2:$F$5000,Fenders!$C$2:$C$5000,Database!E16)</f>
        <v>0</v>
      </c>
    </row>
    <row r="17" spans="1:6" x14ac:dyDescent="0.25">
      <c r="A17" s="8" t="str">
        <v>21-*E</v>
      </c>
      <c r="B17" s="8">
        <f>_xlfn.MAXIFS(Line_Tensions!$J$2:$J$5000,Line_Tensions!$C$2:$C$5000,Database!A17)</f>
        <v>58</v>
      </c>
      <c r="C17" t="str">
        <v>P</v>
      </c>
      <c r="D17" s="17">
        <f>_xlfn.MAXIFS(Hook_Bollard_Forces!$F$2:$F$5000,Hook_Bollard_Forces!$C$2:$C$5000,SUBSTITUTE(C17,"*","~*"))</f>
        <v>0</v>
      </c>
      <c r="F17">
        <f>+_xlfn.MAXIFS(Fenders!$F$2:$F$5000,Fenders!$C$2:$C$5000,Database!E17)</f>
        <v>0</v>
      </c>
    </row>
    <row r="18" spans="1:6" x14ac:dyDescent="0.25">
      <c r="A18" s="8"/>
      <c r="B18" s="8">
        <f>_xlfn.MAXIFS(Line_Tensions!$J$2:$J$5000,Line_Tensions!$C$2:$C$5000,Database!A18)</f>
        <v>0</v>
      </c>
      <c r="C18" t="str">
        <v>Q</v>
      </c>
      <c r="D18" s="17">
        <f>_xlfn.MAXIFS(Hook_Bollard_Forces!$F$2:$F$5000,Hook_Bollard_Forces!$C$2:$C$5000,SUBSTITUTE(C18,"*","~*"))</f>
        <v>0</v>
      </c>
      <c r="F18">
        <f>+_xlfn.MAXIFS(Fenders!$F$2:$F$5000,Fenders!$C$2:$C$5000,Database!E18)</f>
        <v>0</v>
      </c>
    </row>
    <row r="19" spans="1:6" x14ac:dyDescent="0.25">
      <c r="A19" s="8"/>
      <c r="B19" s="8">
        <f>_xlfn.MAXIFS(Line_Tensions!$J$2:$J$5000,Line_Tensions!$C$2:$C$5000,Database!A19)</f>
        <v>0</v>
      </c>
      <c r="C19" t="str">
        <v>R</v>
      </c>
      <c r="D19" s="17">
        <f>_xlfn.MAXIFS(Hook_Bollard_Forces!$F$2:$F$5000,Hook_Bollard_Forces!$C$2:$C$5000,SUBSTITUTE(C19,"*","~*"))</f>
        <v>0</v>
      </c>
      <c r="F19">
        <f>+_xlfn.MAXIFS(Fenders!$F$2:$F$5000,Fenders!$C$2:$C$5000,Database!E19)</f>
        <v>0</v>
      </c>
    </row>
    <row r="20" spans="1:6" x14ac:dyDescent="0.25">
      <c r="A20" s="8"/>
      <c r="B20" s="8">
        <f>_xlfn.MAXIFS(Line_Tensions!$J$2:$J$5000,Line_Tensions!$C$2:$C$5000,Database!A20)</f>
        <v>0</v>
      </c>
      <c r="C20" t="str">
        <v>S</v>
      </c>
      <c r="D20" s="17">
        <f>_xlfn.MAXIFS(Hook_Bollard_Forces!$F$2:$F$5000,Hook_Bollard_Forces!$C$2:$C$5000,SUBSTITUTE(C20,"*","~*"))</f>
        <v>0</v>
      </c>
      <c r="F20">
        <f>+_xlfn.MAXIFS(Fenders!$F$2:$F$5000,Fenders!$C$2:$C$5000,Database!E20)</f>
        <v>0</v>
      </c>
    </row>
    <row r="21" spans="1:6" x14ac:dyDescent="0.25">
      <c r="A21" s="8"/>
      <c r="B21" s="8">
        <f>_xlfn.MAXIFS(Line_Tensions!$J$2:$J$5000,Line_Tensions!$C$2:$C$5000,Database!A21)</f>
        <v>0</v>
      </c>
      <c r="C21" t="str">
        <v>T</v>
      </c>
      <c r="D21" s="17">
        <f>_xlfn.MAXIFS(Hook_Bollard_Forces!$F$2:$F$5000,Hook_Bollard_Forces!$C$2:$C$5000,SUBSTITUTE(C21,"*","~*"))</f>
        <v>0</v>
      </c>
      <c r="F21">
        <f>+_xlfn.MAXIFS(Fenders!$F$2:$F$5000,Fenders!$C$2:$C$5000,Database!E21)</f>
        <v>0</v>
      </c>
    </row>
    <row r="22" spans="1:6" x14ac:dyDescent="0.25">
      <c r="A22" s="8"/>
      <c r="B22" s="8">
        <f>_xlfn.MAXIFS(Line_Tensions!$J$2:$J$5000,Line_Tensions!$C$2:$C$5000,Database!A22)</f>
        <v>0</v>
      </c>
      <c r="C22" t="str">
        <v>U</v>
      </c>
      <c r="D22" s="17">
        <f>_xlfn.MAXIFS(Hook_Bollard_Forces!$F$2:$F$5000,Hook_Bollard_Forces!$C$2:$C$5000,SUBSTITUTE(C22,"*","~*"))</f>
        <v>0</v>
      </c>
      <c r="F22">
        <f>+_xlfn.MAXIFS(Fenders!$F$2:$F$5000,Fenders!$C$2:$C$5000,Database!E22)</f>
        <v>0</v>
      </c>
    </row>
    <row r="23" spans="1:6" x14ac:dyDescent="0.25">
      <c r="A23" s="8"/>
      <c r="B23" s="8">
        <f>_xlfn.MAXIFS(Line_Tensions!$J$2:$J$5000,Line_Tensions!$C$2:$C$5000,Database!A23)</f>
        <v>0</v>
      </c>
      <c r="C23" t="str">
        <v>V</v>
      </c>
      <c r="D23" s="17">
        <f>_xlfn.MAXIFS(Hook_Bollard_Forces!$F$2:$F$5000,Hook_Bollard_Forces!$C$2:$C$5000,SUBSTITUTE(C23,"*","~*"))</f>
        <v>0</v>
      </c>
      <c r="F23">
        <f>+_xlfn.MAXIFS(Fenders!$F$2:$F$5000,Fenders!$C$2:$C$5000,Database!E23)</f>
        <v>0</v>
      </c>
    </row>
    <row r="24" spans="1:6" x14ac:dyDescent="0.25">
      <c r="A24" s="8"/>
      <c r="B24" s="8">
        <f>_xlfn.MAXIFS(Line_Tensions!$J$2:$J$5000,Line_Tensions!$C$2:$C$5000,Database!A24)</f>
        <v>0</v>
      </c>
      <c r="C24" t="str">
        <v>W</v>
      </c>
      <c r="D24" s="17">
        <f>_xlfn.MAXIFS(Hook_Bollard_Forces!$F$2:$F$5000,Hook_Bollard_Forces!$C$2:$C$5000,SUBSTITUTE(C24,"*","~*"))</f>
        <v>0</v>
      </c>
      <c r="F24">
        <f>+_xlfn.MAXIFS(Fenders!$F$2:$F$5000,Fenders!$C$2:$C$5000,Database!E24)</f>
        <v>0</v>
      </c>
    </row>
    <row r="25" spans="1:6" x14ac:dyDescent="0.25">
      <c r="A25" s="8"/>
      <c r="B25" s="8">
        <f>_xlfn.MAXIFS(Line_Tensions!$J$2:$J$5000,Line_Tensions!$C$2:$C$5000,Database!A25)</f>
        <v>0</v>
      </c>
      <c r="C25" t="str">
        <v>X</v>
      </c>
      <c r="D25" s="17">
        <f>_xlfn.MAXIFS(Hook_Bollard_Forces!$F$2:$F$5000,Hook_Bollard_Forces!$C$2:$C$5000,SUBSTITUTE(C25,"*","~*"))</f>
        <v>0</v>
      </c>
      <c r="F25">
        <f>+_xlfn.MAXIFS(Fenders!$F$2:$F$5000,Fenders!$C$2:$C$5000,Database!E25)</f>
        <v>0</v>
      </c>
    </row>
    <row r="26" spans="1:6" x14ac:dyDescent="0.25">
      <c r="A26" s="8"/>
      <c r="B26" s="8">
        <f>_xlfn.MAXIFS(Line_Tensions!$J$2:$J$5000,Line_Tensions!$C$2:$C$5000,Database!A26)</f>
        <v>0</v>
      </c>
      <c r="C26" t="str">
        <v>Y</v>
      </c>
      <c r="D26" s="17">
        <f>_xlfn.MAXIFS(Hook_Bollard_Forces!$F$2:$F$5000,Hook_Bollard_Forces!$C$2:$C$5000,SUBSTITUTE(C26,"*","~*"))</f>
        <v>0</v>
      </c>
      <c r="F26">
        <f>+_xlfn.MAXIFS(Fenders!$F$2:$F$5000,Fenders!$C$2:$C$5000,Database!E26)</f>
        <v>0</v>
      </c>
    </row>
    <row r="27" spans="1:6" x14ac:dyDescent="0.25">
      <c r="A27" s="8"/>
      <c r="B27" s="8">
        <f>_xlfn.MAXIFS(Line_Tensions!$J$2:$J$5000,Line_Tensions!$C$2:$C$5000,Database!A27)</f>
        <v>0</v>
      </c>
      <c r="C27" t="str">
        <v>Z</v>
      </c>
      <c r="D27" s="17">
        <f>_xlfn.MAXIFS(Hook_Bollard_Forces!$F$2:$F$5000,Hook_Bollard_Forces!$C$2:$C$5000,SUBSTITUTE(C27,"*","~*"))</f>
        <v>0</v>
      </c>
      <c r="F27">
        <f>+_xlfn.MAXIFS(Fenders!$F$2:$F$5000,Fenders!$C$2:$C$5000,Database!E27)</f>
        <v>0</v>
      </c>
    </row>
    <row r="28" spans="1:6" x14ac:dyDescent="0.25">
      <c r="A28" s="8"/>
      <c r="B28" s="8">
        <f>_xlfn.MAXIFS(Line_Tensions!$J$2:$J$5000,Line_Tensions!$C$2:$C$5000,Database!A28)</f>
        <v>0</v>
      </c>
      <c r="C28" t="str">
        <v>*A</v>
      </c>
      <c r="D28" s="17">
        <f>_xlfn.MAXIFS(Hook_Bollard_Forces!$F$2:$F$5000,Hook_Bollard_Forces!$C$2:$C$5000,SUBSTITUTE(C28,"*","~*"))</f>
        <v>59</v>
      </c>
      <c r="F28">
        <f>+_xlfn.MAXIFS(Fenders!$F$2:$F$5000,Fenders!$C$2:$C$5000,Database!E28)</f>
        <v>0</v>
      </c>
    </row>
    <row r="29" spans="1:6" x14ac:dyDescent="0.25">
      <c r="A29" s="8"/>
      <c r="B29" s="8">
        <f>_xlfn.MAXIFS(Line_Tensions!$J$2:$J$5000,Line_Tensions!$C$2:$C$5000,Database!A29)</f>
        <v>0</v>
      </c>
      <c r="C29" t="str">
        <v>*B</v>
      </c>
      <c r="D29" s="17">
        <f>_xlfn.MAXIFS(Hook_Bollard_Forces!$F$2:$F$5000,Hook_Bollard_Forces!$C$2:$C$5000,SUBSTITUTE(C29,"*","~*"))</f>
        <v>0</v>
      </c>
      <c r="F29">
        <f>+_xlfn.MAXIFS(Fenders!$F$2:$F$5000,Fenders!$C$2:$C$5000,Database!E29)</f>
        <v>0</v>
      </c>
    </row>
    <row r="30" spans="1:6" x14ac:dyDescent="0.25">
      <c r="A30" s="8"/>
      <c r="B30" s="8">
        <f>_xlfn.MAXIFS(Line_Tensions!$J$2:$J$5000,Line_Tensions!$C$2:$C$5000,Database!A30)</f>
        <v>0</v>
      </c>
      <c r="C30" t="str">
        <v>*C</v>
      </c>
      <c r="D30" s="17">
        <f>_xlfn.MAXIFS(Hook_Bollard_Forces!$F$2:$F$5000,Hook_Bollard_Forces!$C$2:$C$5000,SUBSTITUTE(C30,"*","~*"))</f>
        <v>0</v>
      </c>
      <c r="F30">
        <f>+_xlfn.MAXIFS(Fenders!$F$2:$F$5000,Fenders!$C$2:$C$5000,Database!E30)</f>
        <v>0</v>
      </c>
    </row>
    <row r="31" spans="1:6" x14ac:dyDescent="0.25">
      <c r="A31" s="8"/>
      <c r="B31" s="8">
        <f>_xlfn.MAXIFS(Line_Tensions!$J$2:$J$5000,Line_Tensions!$C$2:$C$5000,Database!A31)</f>
        <v>0</v>
      </c>
      <c r="C31" t="str">
        <v>*D</v>
      </c>
      <c r="D31" s="17">
        <f>_xlfn.MAXIFS(Hook_Bollard_Forces!$F$2:$F$5000,Hook_Bollard_Forces!$C$2:$C$5000,SUBSTITUTE(C31,"*","~*"))</f>
        <v>0</v>
      </c>
      <c r="F31">
        <f>+_xlfn.MAXIFS(Fenders!$F$2:$F$5000,Fenders!$C$2:$C$5000,Database!E31)</f>
        <v>0</v>
      </c>
    </row>
    <row r="32" spans="1:6" x14ac:dyDescent="0.25">
      <c r="A32" s="8"/>
      <c r="B32" s="8">
        <f>_xlfn.MAXIFS(Line_Tensions!$J$2:$J$5000,Line_Tensions!$C$2:$C$5000,Database!A32)</f>
        <v>0</v>
      </c>
      <c r="C32" t="str">
        <v>*E</v>
      </c>
      <c r="D32" s="17">
        <f>_xlfn.MAXIFS(Hook_Bollard_Forces!$F$2:$F$5000,Hook_Bollard_Forces!$C$2:$C$5000,SUBSTITUTE(C32,"*","~*"))</f>
        <v>171.7</v>
      </c>
      <c r="F32">
        <f>+_xlfn.MAXIFS(Fenders!$F$2:$F$5000,Fenders!$C$2:$C$5000,Database!E32)</f>
        <v>0</v>
      </c>
    </row>
    <row r="33" spans="1:6" x14ac:dyDescent="0.25">
      <c r="A33" s="8"/>
      <c r="B33" s="8">
        <f>_xlfn.MAXIFS(Line_Tensions!$J$2:$J$5000,Line_Tensions!$C$2:$C$5000,Database!A33)</f>
        <v>0</v>
      </c>
      <c r="C33" t="str">
        <v>*F</v>
      </c>
      <c r="D33" s="17">
        <f>_xlfn.MAXIFS(Hook_Bollard_Forces!$F$2:$F$5000,Hook_Bollard_Forces!$C$2:$C$5000,SUBSTITUTE(C33,"*","~*"))</f>
        <v>182.4</v>
      </c>
      <c r="F33">
        <f>+_xlfn.MAXIFS(Fenders!$F$2:$F$5000,Fenders!$C$2:$C$5000,Database!E33)</f>
        <v>0</v>
      </c>
    </row>
    <row r="34" spans="1:6" x14ac:dyDescent="0.25">
      <c r="A34" s="8"/>
      <c r="B34" s="8">
        <f>_xlfn.MAXIFS(Line_Tensions!$J$2:$J$5000,Line_Tensions!$C$2:$C$5000,Database!A34)</f>
        <v>0</v>
      </c>
      <c r="C34" t="str">
        <v>*G</v>
      </c>
      <c r="D34" s="17">
        <f>_xlfn.MAXIFS(Hook_Bollard_Forces!$F$2:$F$5000,Hook_Bollard_Forces!$C$2:$C$5000,SUBSTITUTE(C34,"*","~*"))</f>
        <v>0</v>
      </c>
      <c r="F34">
        <f>+_xlfn.MAXIFS(Fenders!$F$2:$F$5000,Fenders!$C$2:$C$5000,Database!E34)</f>
        <v>0</v>
      </c>
    </row>
    <row r="35" spans="1:6" x14ac:dyDescent="0.25">
      <c r="A35" s="8"/>
      <c r="B35" s="8">
        <f>_xlfn.MAXIFS(Line_Tensions!$J$2:$J$5000,Line_Tensions!$C$2:$C$5000,Database!A35)</f>
        <v>0</v>
      </c>
      <c r="C35" t="str">
        <v>*H</v>
      </c>
      <c r="D35" s="17">
        <f>_xlfn.MAXIFS(Hook_Bollard_Forces!$F$2:$F$5000,Hook_Bollard_Forces!$C$2:$C$5000,SUBSTITUTE(C35,"*","~*"))</f>
        <v>0</v>
      </c>
      <c r="F35">
        <f>+_xlfn.MAXIFS(Fenders!$F$2:$F$5000,Fenders!$C$2:$C$5000,Database!E35)</f>
        <v>0</v>
      </c>
    </row>
    <row r="36" spans="1:6" x14ac:dyDescent="0.25">
      <c r="A36" s="8"/>
      <c r="B36" s="8">
        <f>_xlfn.MAXIFS(Line_Tensions!$J$2:$J$5000,Line_Tensions!$C$2:$C$5000,Database!A36)</f>
        <v>0</v>
      </c>
      <c r="C36" t="str">
        <v>*I</v>
      </c>
      <c r="D36" s="17">
        <f>_xlfn.MAXIFS(Hook_Bollard_Forces!$F$2:$F$5000,Hook_Bollard_Forces!$C$2:$C$5000,SUBSTITUTE(C36,"*","~*"))</f>
        <v>0</v>
      </c>
      <c r="F36">
        <f>+_xlfn.MAXIFS(Fenders!$F$2:$F$5000,Fenders!$C$2:$C$5000,Database!E36)</f>
        <v>0</v>
      </c>
    </row>
    <row r="37" spans="1:6" x14ac:dyDescent="0.25">
      <c r="A37" s="8"/>
      <c r="B37" s="8">
        <f>_xlfn.MAXIFS(Line_Tensions!$J$2:$J$5000,Line_Tensions!$C$2:$C$5000,Database!A37)</f>
        <v>0</v>
      </c>
      <c r="C37" t="str">
        <v>*J</v>
      </c>
      <c r="D37" s="17">
        <f>_xlfn.MAXIFS(Hook_Bollard_Forces!$F$2:$F$5000,Hook_Bollard_Forces!$C$2:$C$5000,SUBSTITUTE(C37,"*","~*"))</f>
        <v>0</v>
      </c>
      <c r="F37">
        <f>+_xlfn.MAXIFS(Fenders!$F$2:$F$5000,Fenders!$C$2:$C$5000,Database!E37)</f>
        <v>0</v>
      </c>
    </row>
    <row r="38" spans="1:6" x14ac:dyDescent="0.25">
      <c r="A38" s="8"/>
      <c r="B38" s="8">
        <f>_xlfn.MAXIFS(Line_Tensions!$J$2:$J$5000,Line_Tensions!$C$2:$C$5000,Database!A38)</f>
        <v>0</v>
      </c>
      <c r="C38" t="str">
        <v>*K</v>
      </c>
      <c r="D38" s="17">
        <f>_xlfn.MAXIFS(Hook_Bollard_Forces!$F$2:$F$5000,Hook_Bollard_Forces!$C$2:$C$5000,SUBSTITUTE(C38,"*","~*"))</f>
        <v>0</v>
      </c>
      <c r="F38">
        <f>+_xlfn.MAXIFS(Fenders!$F$2:$F$5000,Fenders!$C$2:$C$5000,Database!E38)</f>
        <v>0</v>
      </c>
    </row>
    <row r="39" spans="1:6" x14ac:dyDescent="0.25">
      <c r="A39" s="8"/>
      <c r="B39" s="8">
        <f>_xlfn.MAXIFS(Line_Tensions!$J$2:$J$5000,Line_Tensions!$C$2:$C$5000,Database!A39)</f>
        <v>0</v>
      </c>
      <c r="C39" t="str">
        <v>*L</v>
      </c>
      <c r="D39" s="17">
        <f>_xlfn.MAXIFS(Hook_Bollard_Forces!$F$2:$F$5000,Hook_Bollard_Forces!$C$2:$C$5000,SUBSTITUTE(C39,"*","~*"))</f>
        <v>0</v>
      </c>
      <c r="F39">
        <f>+_xlfn.MAXIFS(Fenders!$F$2:$F$5000,Fenders!$C$2:$C$5000,Database!E39)</f>
        <v>0</v>
      </c>
    </row>
    <row r="40" spans="1:6" x14ac:dyDescent="0.25">
      <c r="A40" s="8"/>
      <c r="B40" s="8">
        <f>_xlfn.MAXIFS(Line_Tensions!$J$2:$J$5000,Line_Tensions!$C$2:$C$5000,Database!A40)</f>
        <v>0</v>
      </c>
      <c r="C40" t="str">
        <v>*M</v>
      </c>
      <c r="D40" s="17">
        <f>_xlfn.MAXIFS(Hook_Bollard_Forces!$F$2:$F$5000,Hook_Bollard_Forces!$C$2:$C$5000,SUBSTITUTE(C40,"*","~*"))</f>
        <v>0</v>
      </c>
      <c r="F40">
        <f>+_xlfn.MAXIFS(Fenders!$F$2:$F$5000,Fenders!$C$2:$C$5000,Database!E40)</f>
        <v>0</v>
      </c>
    </row>
    <row r="41" spans="1:6" x14ac:dyDescent="0.25">
      <c r="A41" s="8"/>
      <c r="B41" s="8">
        <f>_xlfn.MAXIFS(Line_Tensions!$J$2:$J$5000,Line_Tensions!$C$2:$C$5000,Database!A41)</f>
        <v>0</v>
      </c>
      <c r="C41" t="str">
        <v>*N</v>
      </c>
      <c r="D41" s="17">
        <f>_xlfn.MAXIFS(Hook_Bollard_Forces!$F$2:$F$5000,Hook_Bollard_Forces!$C$2:$C$5000,SUBSTITUTE(C41,"*","~*"))</f>
        <v>0</v>
      </c>
      <c r="F41">
        <f>+_xlfn.MAXIFS(Fenders!$F$2:$F$5000,Fenders!$C$2:$C$5000,Database!E41)</f>
        <v>0</v>
      </c>
    </row>
    <row r="42" spans="1:6" x14ac:dyDescent="0.25">
      <c r="A42" s="8"/>
      <c r="B42" s="8">
        <f>_xlfn.MAXIFS(Line_Tensions!$J$2:$J$5000,Line_Tensions!$C$2:$C$5000,Database!A42)</f>
        <v>0</v>
      </c>
      <c r="C42" t="str">
        <v>*O</v>
      </c>
      <c r="D42" s="17">
        <f>_xlfn.MAXIFS(Hook_Bollard_Forces!$F$2:$F$5000,Hook_Bollard_Forces!$C$2:$C$5000,SUBSTITUTE(C42,"*","~*"))</f>
        <v>0</v>
      </c>
      <c r="F42">
        <f>+_xlfn.MAXIFS(Fenders!$F$2:$F$5000,Fenders!$C$2:$C$5000,Database!E42)</f>
        <v>0</v>
      </c>
    </row>
    <row r="43" spans="1:6" x14ac:dyDescent="0.25">
      <c r="A43" s="8"/>
      <c r="B43" s="8">
        <f>_xlfn.MAXIFS(Line_Tensions!$J$2:$J$5000,Line_Tensions!$C$2:$C$5000,Database!A43)</f>
        <v>0</v>
      </c>
      <c r="C43" t="str">
        <v>*P</v>
      </c>
      <c r="D43" s="17">
        <f>_xlfn.MAXIFS(Hook_Bollard_Forces!$F$2:$F$5000,Hook_Bollard_Forces!$C$2:$C$5000,SUBSTITUTE(C43,"*","~*"))</f>
        <v>0</v>
      </c>
      <c r="F43">
        <f>+_xlfn.MAXIFS(Fenders!$F$2:$F$5000,Fenders!$C$2:$C$5000,Database!E43)</f>
        <v>0</v>
      </c>
    </row>
    <row r="44" spans="1:6" x14ac:dyDescent="0.25">
      <c r="A44" s="8"/>
      <c r="B44" s="8">
        <f>_xlfn.MAXIFS(Line_Tensions!$J$2:$J$5000,Line_Tensions!$C$2:$C$5000,Database!A44)</f>
        <v>0</v>
      </c>
      <c r="C44" t="str">
        <v>*Q</v>
      </c>
      <c r="D44" s="17">
        <f>_xlfn.MAXIFS(Hook_Bollard_Forces!$F$2:$F$5000,Hook_Bollard_Forces!$C$2:$C$5000,SUBSTITUTE(C44,"*","~*"))</f>
        <v>0</v>
      </c>
      <c r="F44">
        <f>+_xlfn.MAXIFS(Fenders!$F$2:$F$5000,Fenders!$C$2:$C$5000,Database!E44)</f>
        <v>0</v>
      </c>
    </row>
    <row r="45" spans="1:6" x14ac:dyDescent="0.25">
      <c r="A45" s="8"/>
      <c r="B45" s="8">
        <f>_xlfn.MAXIFS(Line_Tensions!$J$2:$J$5000,Line_Tensions!$C$2:$C$5000,Database!A45)</f>
        <v>0</v>
      </c>
      <c r="C45" t="str">
        <v>*R</v>
      </c>
      <c r="D45" s="17">
        <f>_xlfn.MAXIFS(Hook_Bollard_Forces!$F$2:$F$5000,Hook_Bollard_Forces!$C$2:$C$5000,SUBSTITUTE(C45,"*","~*"))</f>
        <v>0</v>
      </c>
      <c r="F45">
        <f>+_xlfn.MAXIFS(Fenders!$F$2:$F$5000,Fenders!$C$2:$C$5000,Database!E45)</f>
        <v>0</v>
      </c>
    </row>
    <row r="46" spans="1:6" x14ac:dyDescent="0.25">
      <c r="A46" s="8"/>
      <c r="B46" s="8">
        <f>_xlfn.MAXIFS(Line_Tensions!$J$2:$J$5000,Line_Tensions!$C$2:$C$5000,Database!A46)</f>
        <v>0</v>
      </c>
      <c r="C46" t="str">
        <v>*S</v>
      </c>
      <c r="D46" s="17">
        <f>_xlfn.MAXIFS(Hook_Bollard_Forces!$F$2:$F$5000,Hook_Bollard_Forces!$C$2:$C$5000,SUBSTITUTE(C46,"*","~*"))</f>
        <v>0</v>
      </c>
      <c r="F46">
        <f>+_xlfn.MAXIFS(Fenders!$F$2:$F$5000,Fenders!$C$2:$C$5000,Database!E46)</f>
        <v>0</v>
      </c>
    </row>
    <row r="47" spans="1:6" x14ac:dyDescent="0.25">
      <c r="A47" s="8"/>
      <c r="B47" s="8">
        <f>_xlfn.MAXIFS(Line_Tensions!$J$2:$J$5000,Line_Tensions!$C$2:$C$5000,Database!A47)</f>
        <v>0</v>
      </c>
      <c r="C47" t="str">
        <v>*T</v>
      </c>
      <c r="D47" s="17">
        <f>_xlfn.MAXIFS(Hook_Bollard_Forces!$F$2:$F$5000,Hook_Bollard_Forces!$C$2:$C$5000,SUBSTITUTE(C47,"*","~*"))</f>
        <v>0</v>
      </c>
      <c r="F47">
        <f>+_xlfn.MAXIFS(Fenders!$F$2:$F$5000,Fenders!$C$2:$C$5000,Database!E47)</f>
        <v>0</v>
      </c>
    </row>
    <row r="48" spans="1:6" x14ac:dyDescent="0.25">
      <c r="A48" s="8"/>
      <c r="B48" s="8">
        <f>_xlfn.MAXIFS(Line_Tensions!$J$2:$J$5000,Line_Tensions!$C$2:$C$5000,Database!A48)</f>
        <v>0</v>
      </c>
      <c r="C48" t="str">
        <v>*U</v>
      </c>
      <c r="D48" s="17">
        <f>_xlfn.MAXIFS(Hook_Bollard_Forces!$F$2:$F$5000,Hook_Bollard_Forces!$C$2:$C$5000,SUBSTITUTE(C48,"*","~*"))</f>
        <v>0</v>
      </c>
      <c r="F48">
        <f>+_xlfn.MAXIFS(Fenders!$F$2:$F$5000,Fenders!$C$2:$C$5000,Database!E48)</f>
        <v>0</v>
      </c>
    </row>
    <row r="49" spans="1:6" x14ac:dyDescent="0.25">
      <c r="A49" s="8"/>
      <c r="B49" s="8">
        <f>_xlfn.MAXIFS(Line_Tensions!$J$2:$J$5000,Line_Tensions!$C$2:$C$5000,Database!A49)</f>
        <v>0</v>
      </c>
      <c r="C49" t="str">
        <v>*V</v>
      </c>
      <c r="D49" s="17">
        <f>_xlfn.MAXIFS(Hook_Bollard_Forces!$F$2:$F$5000,Hook_Bollard_Forces!$C$2:$C$5000,SUBSTITUTE(C49,"*","~*"))</f>
        <v>0</v>
      </c>
      <c r="F49">
        <f>+_xlfn.MAXIFS(Fenders!$F$2:$F$5000,Fenders!$C$2:$C$5000,Database!E49)</f>
        <v>0</v>
      </c>
    </row>
    <row r="50" spans="1:6" x14ac:dyDescent="0.25">
      <c r="A50" s="8"/>
      <c r="B50" s="8">
        <f>_xlfn.MAXIFS(Line_Tensions!$J$2:$J$5000,Line_Tensions!$C$2:$C$5000,Database!A50)</f>
        <v>0</v>
      </c>
      <c r="C50" t="str">
        <v>*W</v>
      </c>
      <c r="D50" s="17">
        <f>_xlfn.MAXIFS(Hook_Bollard_Forces!$F$2:$F$5000,Hook_Bollard_Forces!$C$2:$C$5000,SUBSTITUTE(C50,"*","~*"))</f>
        <v>0</v>
      </c>
      <c r="F50">
        <f>+_xlfn.MAXIFS(Fenders!$F$2:$F$5000,Fenders!$C$2:$C$5000,Database!E50)</f>
        <v>0</v>
      </c>
    </row>
    <row r="51" spans="1:6" x14ac:dyDescent="0.25">
      <c r="A51" s="8"/>
      <c r="B51" s="8">
        <f>_xlfn.MAXIFS(Line_Tensions!$J$2:$J$5000,Line_Tensions!$C$2:$C$5000,Database!A51)</f>
        <v>0</v>
      </c>
      <c r="C51" t="str">
        <v>*X</v>
      </c>
      <c r="D51" s="17">
        <f>_xlfn.MAXIFS(Hook_Bollard_Forces!$F$2:$F$5000,Hook_Bollard_Forces!$C$2:$C$5000,SUBSTITUTE(C51,"*","~*"))</f>
        <v>0</v>
      </c>
      <c r="F51">
        <f>+_xlfn.MAXIFS(Fenders!$F$2:$F$5000,Fenders!$C$2:$C$5000,Database!E51)</f>
        <v>0</v>
      </c>
    </row>
    <row r="52" spans="1:6" x14ac:dyDescent="0.25">
      <c r="A52" s="8"/>
      <c r="B52" s="8">
        <f>_xlfn.MAXIFS(Line_Tensions!$J$2:$J$5000,Line_Tensions!$C$2:$C$5000,Database!A52)</f>
        <v>0</v>
      </c>
      <c r="C52" t="str">
        <v>*Y</v>
      </c>
      <c r="D52" s="17">
        <f>_xlfn.MAXIFS(Hook_Bollard_Forces!$F$2:$F$5000,Hook_Bollard_Forces!$C$2:$C$5000,SUBSTITUTE(C52,"*","~*"))</f>
        <v>0</v>
      </c>
      <c r="F52">
        <f>+_xlfn.MAXIFS(Fenders!$F$2:$F$5000,Fenders!$C$2:$C$5000,Database!E52)</f>
        <v>0</v>
      </c>
    </row>
    <row r="53" spans="1:6" x14ac:dyDescent="0.25">
      <c r="A53" s="8"/>
      <c r="B53" s="8">
        <f>_xlfn.MAXIFS(Line_Tensions!$J$2:$J$5000,Line_Tensions!$C$2:$C$5000,Database!A53)</f>
        <v>0</v>
      </c>
      <c r="C53" t="str">
        <v>*Z</v>
      </c>
      <c r="D53" s="17">
        <f>_xlfn.MAXIFS(Hook_Bollard_Forces!$F$2:$F$5000,Hook_Bollard_Forces!$C$2:$C$5000,SUBSTITUTE(C53,"*","~*"))</f>
        <v>0</v>
      </c>
      <c r="F53">
        <f>+_xlfn.MAXIFS(Fenders!$F$2:$F$5000,Fenders!$C$2:$C$5000,Database!E53)</f>
        <v>0</v>
      </c>
    </row>
    <row r="54" spans="1:6" x14ac:dyDescent="0.25">
      <c r="A54" s="8"/>
      <c r="B54" s="8"/>
    </row>
    <row r="55" spans="1:6" x14ac:dyDescent="0.25">
      <c r="A55" s="8"/>
      <c r="B55" s="8"/>
    </row>
    <row r="56" spans="1:6" x14ac:dyDescent="0.25">
      <c r="A56" s="8"/>
      <c r="B56" s="8"/>
    </row>
    <row r="57" spans="1:6" x14ac:dyDescent="0.25">
      <c r="A57" s="8"/>
      <c r="B57" s="8"/>
    </row>
    <row r="58" spans="1:6" x14ac:dyDescent="0.25">
      <c r="A58" s="8"/>
      <c r="B58" s="8"/>
    </row>
    <row r="59" spans="1:6" x14ac:dyDescent="0.25">
      <c r="A59" s="8"/>
      <c r="B59" s="8"/>
    </row>
    <row r="60" spans="1:6" x14ac:dyDescent="0.25">
      <c r="A60" s="8"/>
      <c r="B60" s="8"/>
    </row>
    <row r="61" spans="1:6" x14ac:dyDescent="0.25">
      <c r="A61" s="8"/>
      <c r="B61" s="8"/>
    </row>
    <row r="62" spans="1:6" x14ac:dyDescent="0.25">
      <c r="A62" s="8"/>
      <c r="B62" s="8"/>
    </row>
    <row r="63" spans="1:6" x14ac:dyDescent="0.25">
      <c r="A63" s="8"/>
      <c r="B63" s="8"/>
    </row>
    <row r="64" spans="1:6" x14ac:dyDescent="0.25">
      <c r="A64" s="8"/>
      <c r="B64" s="8"/>
    </row>
    <row r="65" spans="1:2" x14ac:dyDescent="0.25">
      <c r="A65" s="8"/>
      <c r="B65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7E2DD-8224-4F0E-9EC8-8867C08F6815}">
  <sheetPr codeName="Sheet1">
    <tabColor rgb="FF00B050"/>
  </sheetPr>
  <dimension ref="A1:AC103"/>
  <sheetViews>
    <sheetView showGridLines="0" zoomScale="70" zoomScaleNormal="70" workbookViewId="0">
      <selection activeCell="AC39" sqref="AC39"/>
    </sheetView>
  </sheetViews>
  <sheetFormatPr defaultRowHeight="15" x14ac:dyDescent="0.25"/>
  <cols>
    <col min="2" max="2" width="10.28515625" customWidth="1"/>
    <col min="3" max="3" width="11.85546875" customWidth="1"/>
    <col min="4" max="4" width="11.28515625" customWidth="1"/>
    <col min="5" max="11" width="10.28515625" customWidth="1"/>
    <col min="15" max="15" width="13" customWidth="1"/>
    <col min="16" max="16" width="11" customWidth="1"/>
    <col min="24" max="24" width="6.140625" customWidth="1"/>
    <col min="27" max="27" width="16.5703125" customWidth="1"/>
    <col min="28" max="28" width="14.7109375" customWidth="1"/>
  </cols>
  <sheetData>
    <row r="1" spans="2:28" ht="23.25" customHeight="1" x14ac:dyDescent="0.35">
      <c r="B1" s="10" t="s">
        <v>131</v>
      </c>
      <c r="C1" s="11"/>
      <c r="D1" s="11"/>
      <c r="E1" s="11"/>
      <c r="F1" s="11"/>
      <c r="G1" s="11"/>
      <c r="H1" s="11"/>
      <c r="I1" s="11"/>
      <c r="J1" s="11"/>
      <c r="K1" s="11"/>
      <c r="M1" s="15" t="s">
        <v>142</v>
      </c>
      <c r="N1" s="15"/>
      <c r="O1" s="15"/>
      <c r="Q1" s="28" t="s">
        <v>147</v>
      </c>
    </row>
    <row r="2" spans="2:28" ht="15" customHeight="1" x14ac:dyDescent="0.25">
      <c r="B2" s="9" t="s">
        <v>149</v>
      </c>
      <c r="C2" s="12"/>
      <c r="D2" s="12"/>
      <c r="E2" s="12"/>
      <c r="F2" s="12"/>
      <c r="G2" s="12"/>
      <c r="H2" s="12"/>
      <c r="I2" s="12"/>
      <c r="J2" s="12"/>
      <c r="K2" s="12"/>
      <c r="M2" s="16"/>
      <c r="N2" s="16"/>
      <c r="O2" s="16"/>
    </row>
    <row r="3" spans="2:28" ht="15" customHeight="1" x14ac:dyDescent="0.25">
      <c r="B3" s="13"/>
      <c r="C3" s="13"/>
      <c r="D3" s="13"/>
      <c r="E3" s="13"/>
      <c r="F3" s="13"/>
      <c r="G3" s="13"/>
      <c r="H3" s="13"/>
      <c r="I3" s="13"/>
      <c r="J3" s="13"/>
      <c r="K3" s="13"/>
      <c r="M3" s="16"/>
      <c r="N3" s="16"/>
      <c r="O3" s="16"/>
    </row>
    <row r="4" spans="2:28" ht="44.25" customHeight="1" x14ac:dyDescent="0.25">
      <c r="B4" s="24" t="s">
        <v>146</v>
      </c>
      <c r="C4" s="25" t="s">
        <v>132</v>
      </c>
      <c r="D4" s="24" t="s">
        <v>145</v>
      </c>
      <c r="E4" s="25" t="s">
        <v>133</v>
      </c>
      <c r="F4" s="13"/>
      <c r="G4" s="13"/>
      <c r="H4" s="13"/>
      <c r="I4" s="13"/>
      <c r="J4" s="13"/>
      <c r="K4" s="13"/>
      <c r="M4" s="16"/>
      <c r="N4" s="16"/>
      <c r="O4" s="16"/>
    </row>
    <row r="5" spans="2:28" ht="17.25" x14ac:dyDescent="0.25">
      <c r="B5" s="26">
        <f>MAX(SUMMARY!$C$18:$C$33)</f>
        <v>61.2</v>
      </c>
      <c r="C5" s="27" t="str">
        <f>_xlfn.XLOOKUP(B5,SUMMARY!$C$18:$C$33,SUMMARY!$B$18:$B$33,"")</f>
        <v>16-*F</v>
      </c>
      <c r="D5" s="26">
        <f>MAX(SUMMARY!$O$18:$O$23)</f>
        <v>182.4</v>
      </c>
      <c r="E5" s="27" t="str">
        <f>_xlfn.XLOOKUP(D5,SUMMARY!$O$18:$O$23,SUMMARY!$N$18:$N$23,"")</f>
        <v>*F</v>
      </c>
      <c r="F5" s="13"/>
      <c r="G5" s="13"/>
      <c r="H5" s="13"/>
      <c r="I5" s="13"/>
      <c r="J5" s="13"/>
      <c r="K5" s="13"/>
      <c r="M5" s="16"/>
      <c r="N5" s="16"/>
      <c r="O5" s="16"/>
    </row>
    <row r="6" spans="2:28" ht="20.25" customHeight="1" x14ac:dyDescent="0.25">
      <c r="B6" s="13"/>
      <c r="C6" s="13"/>
      <c r="D6" s="13"/>
      <c r="E6" s="13"/>
      <c r="F6" s="13"/>
      <c r="G6" s="13"/>
      <c r="H6" s="13"/>
      <c r="I6" s="13"/>
      <c r="J6" s="13"/>
      <c r="K6" s="13"/>
      <c r="M6" s="16"/>
      <c r="N6" s="16"/>
      <c r="O6" s="16"/>
    </row>
    <row r="7" spans="2:28" ht="20.25" customHeight="1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M7" s="29"/>
      <c r="N7" s="29"/>
      <c r="O7" s="29"/>
    </row>
    <row r="8" spans="2:28" ht="20.25" customHeight="1" x14ac:dyDescent="0.25">
      <c r="B8" s="13"/>
      <c r="C8" s="13"/>
      <c r="D8" s="13"/>
      <c r="E8" s="13"/>
      <c r="F8" s="13"/>
      <c r="G8" s="13"/>
      <c r="H8" s="13"/>
      <c r="I8" s="13"/>
      <c r="J8" s="13"/>
      <c r="K8" s="13"/>
      <c r="M8" s="29"/>
      <c r="N8" s="29"/>
      <c r="O8" s="29"/>
    </row>
    <row r="9" spans="2:28" ht="20.25" customHeight="1" x14ac:dyDescent="0.25">
      <c r="B9" s="13"/>
      <c r="C9" s="13"/>
      <c r="D9" s="13"/>
      <c r="E9" s="13"/>
      <c r="F9" s="13"/>
      <c r="G9" s="13"/>
      <c r="H9" s="13"/>
      <c r="I9" s="13"/>
      <c r="J9" s="13"/>
      <c r="K9" s="13"/>
      <c r="M9" s="29"/>
      <c r="N9" s="29"/>
      <c r="O9" s="29"/>
    </row>
    <row r="10" spans="2:28" ht="20.25" customHeight="1" x14ac:dyDescent="0.25">
      <c r="B10" s="13"/>
      <c r="C10" s="13"/>
      <c r="D10" s="13"/>
      <c r="E10" s="13"/>
      <c r="F10" s="13"/>
      <c r="G10" s="13"/>
      <c r="H10" s="13"/>
      <c r="I10" s="13"/>
      <c r="J10" s="13"/>
      <c r="K10" s="13"/>
      <c r="M10" s="29"/>
      <c r="N10" s="29"/>
      <c r="O10" s="29"/>
    </row>
    <row r="11" spans="2:28" ht="20.25" customHeight="1" x14ac:dyDescent="0.25">
      <c r="B11" s="13"/>
      <c r="C11" s="13"/>
      <c r="D11" s="13"/>
      <c r="E11" s="13"/>
      <c r="F11" s="13"/>
      <c r="G11" s="13"/>
      <c r="H11" s="13"/>
      <c r="I11" s="13"/>
      <c r="J11" s="13"/>
      <c r="K11" s="13"/>
      <c r="M11" s="29"/>
      <c r="N11" s="29"/>
      <c r="O11" s="29"/>
    </row>
    <row r="12" spans="2:28" ht="20.25" customHeight="1" x14ac:dyDescent="0.25">
      <c r="B12" s="13"/>
      <c r="C12" s="13"/>
      <c r="D12" s="13"/>
      <c r="E12" s="13"/>
      <c r="F12" s="13"/>
      <c r="G12" s="13"/>
      <c r="H12" s="13"/>
      <c r="I12" s="13"/>
      <c r="J12" s="13"/>
      <c r="K12" s="13"/>
      <c r="M12" s="29"/>
      <c r="N12" s="29"/>
      <c r="O12" s="29"/>
    </row>
    <row r="13" spans="2:28" ht="20.25" customHeight="1" x14ac:dyDescent="0.25">
      <c r="B13" s="13"/>
      <c r="C13" s="13"/>
      <c r="D13" s="13"/>
      <c r="E13" s="13"/>
      <c r="F13" s="13"/>
      <c r="G13" s="13"/>
      <c r="H13" s="13"/>
      <c r="I13" s="13"/>
      <c r="J13" s="13"/>
      <c r="K13" s="13"/>
      <c r="M13" s="29"/>
      <c r="N13" s="29"/>
      <c r="O13" s="29"/>
    </row>
    <row r="14" spans="2:28" ht="20.25" customHeight="1" x14ac:dyDescent="0.25">
      <c r="B14" s="13"/>
      <c r="C14" s="13"/>
      <c r="D14" s="13"/>
      <c r="E14" s="13"/>
      <c r="F14" s="13"/>
      <c r="G14" s="13"/>
      <c r="H14" s="13"/>
      <c r="I14" s="13"/>
      <c r="J14" s="13"/>
      <c r="K14" s="13"/>
      <c r="M14" s="29"/>
      <c r="N14" s="29"/>
      <c r="O14" s="29"/>
    </row>
    <row r="15" spans="2:28" ht="20.25" customHeight="1" x14ac:dyDescent="0.25">
      <c r="B15" s="13"/>
      <c r="C15" s="13"/>
      <c r="D15" s="13"/>
      <c r="E15" s="13"/>
      <c r="F15" s="13"/>
      <c r="G15" s="13"/>
      <c r="H15" s="13"/>
      <c r="I15" s="13"/>
      <c r="J15" s="13"/>
      <c r="K15" s="13"/>
      <c r="M15" s="29"/>
      <c r="N15" s="29"/>
      <c r="O15" s="29"/>
    </row>
    <row r="16" spans="2:28" ht="20.25" customHeight="1" x14ac:dyDescent="0.3">
      <c r="B16" s="32" t="s">
        <v>148</v>
      </c>
      <c r="C16" s="13"/>
      <c r="D16" s="13"/>
      <c r="E16" s="13"/>
      <c r="F16" s="13"/>
      <c r="G16" s="13"/>
      <c r="H16" s="13"/>
      <c r="I16" s="13"/>
      <c r="J16" s="13"/>
      <c r="K16" s="13"/>
      <c r="M16" s="14"/>
      <c r="N16" s="14" t="s">
        <v>139</v>
      </c>
      <c r="O16" s="13"/>
      <c r="P16" s="13"/>
      <c r="Q16" s="13"/>
      <c r="R16" s="13"/>
      <c r="S16" s="13"/>
      <c r="T16" s="13"/>
      <c r="U16" s="13"/>
      <c r="V16" s="13"/>
      <c r="AA16" t="s">
        <v>151</v>
      </c>
      <c r="AB16" s="39">
        <v>15</v>
      </c>
    </row>
    <row r="17" spans="1:29" ht="51.75" customHeight="1" x14ac:dyDescent="0.25">
      <c r="A17" s="31" t="s">
        <v>143</v>
      </c>
      <c r="B17" s="33" t="s">
        <v>134</v>
      </c>
      <c r="C17" s="33" t="s">
        <v>135</v>
      </c>
      <c r="D17" s="33" t="s">
        <v>61</v>
      </c>
      <c r="E17" s="33" t="s">
        <v>1</v>
      </c>
      <c r="F17" s="33" t="s">
        <v>136</v>
      </c>
      <c r="G17" s="33" t="s">
        <v>137</v>
      </c>
      <c r="H17" s="33" t="s">
        <v>33</v>
      </c>
      <c r="I17" s="33" t="s">
        <v>138</v>
      </c>
      <c r="J17" s="33" t="s">
        <v>2</v>
      </c>
      <c r="K17" s="33" t="s">
        <v>152</v>
      </c>
      <c r="M17" s="30" t="s">
        <v>143</v>
      </c>
      <c r="N17" s="33" t="s">
        <v>140</v>
      </c>
      <c r="O17" s="33" t="s">
        <v>141</v>
      </c>
      <c r="P17" s="33" t="s">
        <v>61</v>
      </c>
      <c r="Q17" s="33" t="s">
        <v>1</v>
      </c>
      <c r="R17" s="33" t="s">
        <v>58</v>
      </c>
      <c r="S17" s="33" t="s">
        <v>59</v>
      </c>
      <c r="T17" s="33" t="s">
        <v>62</v>
      </c>
      <c r="U17" s="33" t="s">
        <v>63</v>
      </c>
      <c r="V17" s="33" t="s">
        <v>2</v>
      </c>
      <c r="W17" s="33" t="s">
        <v>3</v>
      </c>
      <c r="Y17" s="30" t="s">
        <v>143</v>
      </c>
      <c r="Z17" s="33" t="s">
        <v>13</v>
      </c>
      <c r="AA17" s="33" t="s">
        <v>154</v>
      </c>
      <c r="AB17" s="33" t="s">
        <v>153</v>
      </c>
      <c r="AC17" s="33" t="s">
        <v>150</v>
      </c>
    </row>
    <row r="18" spans="1:29" ht="15" customHeight="1" x14ac:dyDescent="0.25">
      <c r="A18" s="31">
        <v>1</v>
      </c>
      <c r="B18" s="34" t="str" cm="1">
        <f t="array" ref="B18:B33">_xlfn.UNIQUE(_xlfn._xlws.FILTER(Line_Tensions!C2:C5000,Line_Tensions!C2:C5000&lt;&gt;""))</f>
        <v>1-B</v>
      </c>
      <c r="C18" s="34">
        <f>IF(_xlfn.MAXIFS(Line_Tensions!$J$2:$J$5000,Line_Tensions!$C$2:$C$5000,SUBSTITUTE(SUMMARY!$B18,"*","~*"))&gt;0,_xlfn.MAXIFS(Line_Tensions!$J$2:$J$5000,Line_Tensions!$C$2:$C$5000,SUBSTITUTE(SUMMARY!$B18,"*","~*")),"")</f>
        <v>36.1</v>
      </c>
      <c r="D18" s="37" cm="1">
        <f t="array" ref="D18">_xlfn.XLOOKUP(SUMMARY!$B18&amp;"|"&amp;SUMMARY!$C18,Line_Tensions!$C$2:$C$65&amp;"|"&amp;Line_Tensions!$J$2:$J$65,Line_Tensions!$K$2:$K$65,"")</f>
        <v>0.28000000000000003</v>
      </c>
      <c r="E18" s="34" cm="1">
        <f t="array" ref="E18">_xlfn.XLOOKUP(SUMMARY!$B18&amp;"|"&amp;SUMMARY!$C18,Line_Tensions!$C$2:$C$65&amp;"|"&amp;Line_Tensions!$J$2:$J$65,Line_Tensions!$B$2:$B$65,"")</f>
        <v>2</v>
      </c>
      <c r="F18" s="38" cm="1">
        <f t="array" ref="F18">_xlfn.XLOOKUP(SUMMARY!$B18&amp;"|"&amp;SUMMARY!$C18,Line_Tensions!$C$2:$C$65&amp;"|"&amp;Line_Tensions!$J$2:$J$65,Line_Tensions!$H$2:$H$65,"")</f>
        <v>-120</v>
      </c>
      <c r="G18" s="38" cm="1">
        <f t="array" ref="G18">_xlfn.XLOOKUP(SUMMARY!$B18&amp;"|"&amp;SUMMARY!$C18,Line_Tensions!$C$2:$C$65&amp;"|"&amp;Line_Tensions!$J$2:$J$65,Line_Tensions!$I$2:$I$65,"")</f>
        <v>60</v>
      </c>
      <c r="H18" s="38" cm="1">
        <f t="array" ref="H18">_xlfn.XLOOKUP(SUMMARY!$B18&amp;"|"&amp;SUMMARY!$C18,Line_Tensions!$C$2:$C$65&amp;"|"&amp;Line_Tensions!$J$2:$J$65,Line_Tensions!$D$2:$D$65,"")</f>
        <v>0.46</v>
      </c>
      <c r="I18" s="38" cm="1">
        <f t="array" ref="I18">_xlfn.XLOOKUP(SUMMARY!$B18&amp;"|"&amp;SUMMARY!$C18,Line_Tensions!$C$2:$C$65&amp;"|"&amp;Line_Tensions!$J$2:$J$65,Line_Tensions!$E$2:$E$65,"")</f>
        <v>32.9</v>
      </c>
      <c r="J18" s="38">
        <f>_xlfn.XLOOKUP(SUMMARY!$E18,Cases!$B$2:$B$5,Cases!$C$2:$C$5,"")</f>
        <v>0.57999999999999996</v>
      </c>
      <c r="K18" s="38">
        <f>_xlfn.XLOOKUP(SUMMARY!$E18,Cases!$B$2:$B$5,Cases!$D$2:$D$5,"")</f>
        <v>16</v>
      </c>
      <c r="M18" s="30">
        <v>1</v>
      </c>
      <c r="N18" s="34" t="str" cm="1">
        <f t="array" ref="N18:N23">_xlfn.UNIQUE(_xlfn._xlws.FILTER(Database!C2:C53,Database!D2:D53&gt;0,""))</f>
        <v>A</v>
      </c>
      <c r="O18" s="34">
        <f>IF(_xlfn.MAXIFS(Hook_Bollard_Forces!$F$2:$F$5000,Hook_Bollard_Forces!$C$2:$C$5000,SUBSTITUTE(SUMMARY!$N18,"*","~*"))&gt;0,_xlfn.MAXIFS(Hook_Bollard_Forces!$F$2:$F$5000,Hook_Bollard_Forces!$C$2:$C$5000,SUBSTITUTE(SUMMARY!$N18,"*","~*")),"")</f>
        <v>156.5</v>
      </c>
      <c r="P18" s="37" cm="1">
        <f t="array" ref="P18">_xlfn.XLOOKUP(SUMMARY!$N18&amp;"|"&amp;SUMMARY!$O18,Hook_Bollard_Forces!$C$2:$C$209&amp;"|"&amp;Hook_Bollard_Forces!$F$2:$F$209,Hook_Bollard_Forces!$G$2:$G$209,"")</f>
        <v>0.78</v>
      </c>
      <c r="Q18" s="34" cm="1">
        <f t="array" ref="Q18">_xlfn.XLOOKUP(SUMMARY!$N18&amp;"|"&amp;SUMMARY!$O18,Hook_Bollard_Forces!$C$2:$C$209&amp;"|"&amp;Hook_Bollard_Forces!$F$2:$F$209,Hook_Bollard_Forces!$B$2:$B$209,"")</f>
        <v>3</v>
      </c>
      <c r="R18" s="38" cm="1">
        <f t="array" ref="R18">_xlfn.XLOOKUP(SUMMARY!$N18&amp;"|"&amp;SUMMARY!$O18,Hook_Bollard_Forces!$C$2:$C$209&amp;"|"&amp;Hook_Bollard_Forces!$F$2:$F$209,Hook_Bollard_Forces!$D$2:$D$209,"")</f>
        <v>54.3</v>
      </c>
      <c r="S18" s="38" cm="1">
        <f t="array" ref="S18">_xlfn.XLOOKUP(SUMMARY!$N18&amp;"|"&amp;SUMMARY!$O18,Hook_Bollard_Forces!$C$2:$C$209&amp;"|"&amp;Hook_Bollard_Forces!$F$2:$F$209,Hook_Bollard_Forces!$E$2:$E$209,"")</f>
        <v>128.30000000000001</v>
      </c>
      <c r="T18" s="38" cm="1">
        <f t="array" ref="T18">_xlfn.XLOOKUP(SUMMARY!$N18&amp;"|"&amp;SUMMARY!$O18,Hook_Bollard_Forces!$C$2:$C$209&amp;"|"&amp;Hook_Bollard_Forces!$F$2:$F$209,Hook_Bollard_Forces!$H$2:$H$209,"")</f>
        <v>23</v>
      </c>
      <c r="U18" s="38" cm="1">
        <f t="array" ref="U18">_xlfn.XLOOKUP(SUMMARY!$N18&amp;"|"&amp;SUMMARY!$O18,Hook_Bollard_Forces!$C$2:$C$209&amp;"|"&amp;Hook_Bollard_Forces!$F$2:$F$209,Hook_Bollard_Forces!$I$2:$I$209,"")</f>
        <v>71.400000000000006</v>
      </c>
      <c r="V18" s="38">
        <f>_xlfn.XLOOKUP(SUMMARY!$Q18,Cases!$B$2:$B$5,Cases!$C$2:$C$5,"")</f>
        <v>4</v>
      </c>
      <c r="W18" s="38">
        <f>_xlfn.XLOOKUP(SUMMARY!$Q18,Cases!$B$2:$B$5,Cases!$D$2:$D$5,"")</f>
        <v>14.5</v>
      </c>
      <c r="Y18" s="30">
        <v>1</v>
      </c>
      <c r="Z18" s="34" t="str" cm="1">
        <f t="array" ref="Z18:Z31">_xlfn.UNIQUE(_xlfn._xlws.FILTER(Database!E2:E53,Database!F2:F53&gt;0,""))</f>
        <v>dd</v>
      </c>
      <c r="AA18" s="34">
        <f>IF(_xlfn.MAXIFS(Fenders!$F$2:$F$5000,Fenders!$C$2:$C$5000,SUBSTITUTE(SUMMARY!$Z18,"*","~*"))&gt;0,_xlfn.MAXIFS(Fenders!$F$2:$F$5000,Fenders!$C$2:$C$5000,SUBSTITUTE(SUMMARY!$Z18,"*","~*")),"")</f>
        <v>3.4</v>
      </c>
      <c r="AB18" s="35">
        <f>+$AB$16</f>
        <v>15</v>
      </c>
      <c r="AC18" s="36">
        <f>+AA18/AB18</f>
        <v>0.22666666666666666</v>
      </c>
    </row>
    <row r="19" spans="1:29" x14ac:dyDescent="0.25">
      <c r="A19" s="31">
        <f>+A18+1</f>
        <v>2</v>
      </c>
      <c r="B19" s="34" t="str">
        <v>2-A</v>
      </c>
      <c r="C19" s="34">
        <f>IF(_xlfn.MAXIFS(Line_Tensions!$J$2:$J$5000,Line_Tensions!$C$2:$C$5000,SUBSTITUTE(SUMMARY!$B19,"*","~*"))&gt;0,_xlfn.MAXIFS(Line_Tensions!$J$2:$J$5000,Line_Tensions!$C$2:$C$5000,SUBSTITUTE(SUMMARY!$B19,"*","~*")),"")</f>
        <v>51.3</v>
      </c>
      <c r="D19" s="37" cm="1">
        <f t="array" ref="D19">_xlfn.XLOOKUP(SUMMARY!$B19&amp;"|"&amp;SUMMARY!$C19,Line_Tensions!$C$2:$C$65&amp;"|"&amp;Line_Tensions!$J$2:$J$65,Line_Tensions!$K$2:$K$65,"")</f>
        <v>0.3</v>
      </c>
      <c r="E19" s="34" cm="1">
        <f t="array" ref="E19">_xlfn.XLOOKUP(SUMMARY!$B19&amp;"|"&amp;SUMMARY!$C19,Line_Tensions!$C$2:$C$65&amp;"|"&amp;Line_Tensions!$J$2:$J$65,Line_Tensions!$B$2:$B$65,"")</f>
        <v>3</v>
      </c>
      <c r="F19" s="38" cm="1">
        <f t="array" ref="F19">_xlfn.XLOOKUP(SUMMARY!$B19&amp;"|"&amp;SUMMARY!$C19,Line_Tensions!$C$2:$C$65&amp;"|"&amp;Line_Tensions!$J$2:$J$65,Line_Tensions!$H$2:$H$65,"")</f>
        <v>-120</v>
      </c>
      <c r="G19" s="38" cm="1">
        <f t="array" ref="G19">_xlfn.XLOOKUP(SUMMARY!$B19&amp;"|"&amp;SUMMARY!$C19,Line_Tensions!$C$2:$C$65&amp;"|"&amp;Line_Tensions!$J$2:$J$65,Line_Tensions!$I$2:$I$65,"")</f>
        <v>60</v>
      </c>
      <c r="H19" s="38" cm="1">
        <f t="array" ref="H19">_xlfn.XLOOKUP(SUMMARY!$B19&amp;"|"&amp;SUMMARY!$C19,Line_Tensions!$C$2:$C$65&amp;"|"&amp;Line_Tensions!$J$2:$J$65,Line_Tensions!$D$2:$D$65,"")</f>
        <v>0.28999999999999998</v>
      </c>
      <c r="I19" s="38" cm="1">
        <f t="array" ref="I19">_xlfn.XLOOKUP(SUMMARY!$B19&amp;"|"&amp;SUMMARY!$C19,Line_Tensions!$C$2:$C$65&amp;"|"&amp;Line_Tensions!$J$2:$J$65,Line_Tensions!$E$2:$E$65,"")</f>
        <v>31</v>
      </c>
      <c r="J19" s="38">
        <f>_xlfn.XLOOKUP(SUMMARY!$E19,Cases!$B$2:$B$5,Cases!$C$2:$C$5,"")</f>
        <v>4</v>
      </c>
      <c r="K19" s="38">
        <f>_xlfn.XLOOKUP(SUMMARY!$E19,Cases!$B$2:$B$5,Cases!$D$2:$D$5,"")</f>
        <v>14.5</v>
      </c>
      <c r="M19" s="30">
        <f>+M18+1</f>
        <v>2</v>
      </c>
      <c r="N19" s="34" t="str">
        <v>B</v>
      </c>
      <c r="O19" s="34">
        <f>IF(_xlfn.MAXIFS(Hook_Bollard_Forces!$F$2:$F$5000,Hook_Bollard_Forces!$C$2:$C$5000,SUBSTITUTE(SUMMARY!$N19,"*","~*"))&gt;0,_xlfn.MAXIFS(Hook_Bollard_Forces!$F$2:$F$5000,Hook_Bollard_Forces!$C$2:$C$5000,SUBSTITUTE(SUMMARY!$N19,"*","~*")),"")</f>
        <v>152.19999999999999</v>
      </c>
      <c r="P19" s="37" cm="1">
        <f t="array" ref="P19">_xlfn.XLOOKUP(SUMMARY!$N19&amp;"|"&amp;SUMMARY!$O19,Hook_Bollard_Forces!$C$2:$C$209&amp;"|"&amp;Hook_Bollard_Forces!$F$2:$F$209,Hook_Bollard_Forces!$G$2:$G$209,"")</f>
        <v>0.76</v>
      </c>
      <c r="Q19" s="34" cm="1">
        <f t="array" ref="Q19">_xlfn.XLOOKUP(SUMMARY!$N19&amp;"|"&amp;SUMMARY!$O19,Hook_Bollard_Forces!$C$2:$C$209&amp;"|"&amp;Hook_Bollard_Forces!$F$2:$F$209,Hook_Bollard_Forces!$B$2:$B$209,"")</f>
        <v>2</v>
      </c>
      <c r="R19" s="38" cm="1">
        <f t="array" ref="R19">_xlfn.XLOOKUP(SUMMARY!$N19&amp;"|"&amp;SUMMARY!$O19,Hook_Bollard_Forces!$C$2:$C$209&amp;"|"&amp;Hook_Bollard_Forces!$F$2:$F$209,Hook_Bollard_Forces!$D$2:$D$209,"")</f>
        <v>49</v>
      </c>
      <c r="S19" s="38" cm="1">
        <f t="array" ref="S19">_xlfn.XLOOKUP(SUMMARY!$N19&amp;"|"&amp;SUMMARY!$O19,Hook_Bollard_Forces!$C$2:$C$209&amp;"|"&amp;Hook_Bollard_Forces!$F$2:$F$209,Hook_Bollard_Forces!$E$2:$E$209,"")</f>
        <v>139.4</v>
      </c>
      <c r="T19" s="38" cm="1">
        <f t="array" ref="T19">_xlfn.XLOOKUP(SUMMARY!$N19&amp;"|"&amp;SUMMARY!$O19,Hook_Bollard_Forces!$C$2:$C$209&amp;"|"&amp;Hook_Bollard_Forces!$F$2:$F$209,Hook_Bollard_Forces!$H$2:$H$209,"")</f>
        <v>19</v>
      </c>
      <c r="U19" s="38" cm="1">
        <f t="array" ref="U19">_xlfn.XLOOKUP(SUMMARY!$N19&amp;"|"&amp;SUMMARY!$O19,Hook_Bollard_Forces!$C$2:$C$209&amp;"|"&amp;Hook_Bollard_Forces!$F$2:$F$209,Hook_Bollard_Forces!$I$2:$I$209,"")</f>
        <v>36.200000000000003</v>
      </c>
      <c r="V19" s="38">
        <f>_xlfn.XLOOKUP(SUMMARY!$Q19,Cases!$B$2:$B$5,Cases!$C$2:$C$5,"")</f>
        <v>0.57999999999999996</v>
      </c>
      <c r="W19" s="38">
        <f>_xlfn.XLOOKUP(SUMMARY!$Q19,Cases!$B$2:$B$5,Cases!$D$2:$D$5,"")</f>
        <v>16</v>
      </c>
      <c r="Y19" s="30">
        <f>+Y18+1</f>
        <v>2</v>
      </c>
      <c r="Z19" s="34" t="str">
        <v>ee</v>
      </c>
      <c r="AA19" s="34">
        <f>IF(_xlfn.MAXIFS(Fenders!$F$2:$F$5000,Fenders!$C$2:$C$5000,SUBSTITUTE(SUMMARY!$Z19,"*","~*"))&gt;0,_xlfn.MAXIFS(Fenders!$F$2:$F$5000,Fenders!$C$2:$C$5000,SUBSTITUTE(SUMMARY!$Z19,"*","~*")),"")</f>
        <v>3.1</v>
      </c>
      <c r="AB19" s="35">
        <f t="shared" ref="AB19:AB31" si="0">+$AB$16</f>
        <v>15</v>
      </c>
      <c r="AC19" s="36">
        <f t="shared" ref="AC19:AC31" si="1">+AA19/AB19</f>
        <v>0.20666666666666667</v>
      </c>
    </row>
    <row r="20" spans="1:29" ht="15" customHeight="1" x14ac:dyDescent="0.25">
      <c r="A20" s="31">
        <f t="shared" ref="A20:A44" si="2">+A19+1</f>
        <v>3</v>
      </c>
      <c r="B20" s="34" t="str">
        <v>3-A</v>
      </c>
      <c r="C20" s="34">
        <f>IF(_xlfn.MAXIFS(Line_Tensions!$J$2:$J$5000,Line_Tensions!$C$2:$C$5000,SUBSTITUTE(SUMMARY!$B20,"*","~*"))&gt;0,_xlfn.MAXIFS(Line_Tensions!$J$2:$J$5000,Line_Tensions!$C$2:$C$5000,SUBSTITUTE(SUMMARY!$B20,"*","~*")),"")</f>
        <v>52.1</v>
      </c>
      <c r="D20" s="37" cm="1">
        <f t="array" ref="D20">_xlfn.XLOOKUP(SUMMARY!$B20&amp;"|"&amp;SUMMARY!$C20,Line_Tensions!$C$2:$C$65&amp;"|"&amp;Line_Tensions!$J$2:$J$65,Line_Tensions!$K$2:$K$65,"")</f>
        <v>0.31</v>
      </c>
      <c r="E20" s="34" cm="1">
        <f t="array" ref="E20">_xlfn.XLOOKUP(SUMMARY!$B20&amp;"|"&amp;SUMMARY!$C20,Line_Tensions!$C$2:$C$65&amp;"|"&amp;Line_Tensions!$J$2:$J$65,Line_Tensions!$B$2:$B$65,"")</f>
        <v>3</v>
      </c>
      <c r="F20" s="38" cm="1">
        <f t="array" ref="F20">_xlfn.XLOOKUP(SUMMARY!$B20&amp;"|"&amp;SUMMARY!$C20,Line_Tensions!$C$2:$C$65&amp;"|"&amp;Line_Tensions!$J$2:$J$65,Line_Tensions!$H$2:$H$65,"")</f>
        <v>-120</v>
      </c>
      <c r="G20" s="38" cm="1">
        <f t="array" ref="G20">_xlfn.XLOOKUP(SUMMARY!$B20&amp;"|"&amp;SUMMARY!$C20,Line_Tensions!$C$2:$C$65&amp;"|"&amp;Line_Tensions!$J$2:$J$65,Line_Tensions!$I$2:$I$65,"")</f>
        <v>60</v>
      </c>
      <c r="H20" s="38" cm="1">
        <f t="array" ref="H20">_xlfn.XLOOKUP(SUMMARY!$B20&amp;"|"&amp;SUMMARY!$C20,Line_Tensions!$C$2:$C$65&amp;"|"&amp;Line_Tensions!$J$2:$J$65,Line_Tensions!$D$2:$D$65,"")</f>
        <v>0.28000000000000003</v>
      </c>
      <c r="I20" s="38" cm="1">
        <f t="array" ref="I20">_xlfn.XLOOKUP(SUMMARY!$B20&amp;"|"&amp;SUMMARY!$C20,Line_Tensions!$C$2:$C$65&amp;"|"&amp;Line_Tensions!$J$2:$J$65,Line_Tensions!$E$2:$E$65,"")</f>
        <v>29.8</v>
      </c>
      <c r="J20" s="38">
        <f>_xlfn.XLOOKUP(SUMMARY!$E20,Cases!$B$2:$B$5,Cases!$C$2:$C$5,"")</f>
        <v>4</v>
      </c>
      <c r="K20" s="38">
        <f>_xlfn.XLOOKUP(SUMMARY!$E20,Cases!$B$2:$B$5,Cases!$D$2:$D$5,"")</f>
        <v>14.5</v>
      </c>
      <c r="M20" s="30">
        <f t="shared" ref="M20:M67" si="3">+M19+1</f>
        <v>3</v>
      </c>
      <c r="N20" s="34" t="str">
        <v>G</v>
      </c>
      <c r="O20" s="34">
        <f>IF(_xlfn.MAXIFS(Hook_Bollard_Forces!$F$2:$F$5000,Hook_Bollard_Forces!$C$2:$C$5000,SUBSTITUTE(SUMMARY!$N20,"*","~*"))&gt;0,_xlfn.MAXIFS(Hook_Bollard_Forces!$F$2:$F$5000,Hook_Bollard_Forces!$C$2:$C$5000,SUBSTITUTE(SUMMARY!$N20,"*","~*")),"")</f>
        <v>46.9</v>
      </c>
      <c r="P20" s="37" cm="1">
        <f t="array" ref="P20">_xlfn.XLOOKUP(SUMMARY!$N20&amp;"|"&amp;SUMMARY!$O20,Hook_Bollard_Forces!$C$2:$C$209&amp;"|"&amp;Hook_Bollard_Forces!$F$2:$F$209,Hook_Bollard_Forces!$G$2:$G$209,"")</f>
        <v>0.23</v>
      </c>
      <c r="Q20" s="34" cm="1">
        <f t="array" ref="Q20">_xlfn.XLOOKUP(SUMMARY!$N20&amp;"|"&amp;SUMMARY!$O20,Hook_Bollard_Forces!$C$2:$C$209&amp;"|"&amp;Hook_Bollard_Forces!$F$2:$F$209,Hook_Bollard_Forces!$B$2:$B$209,"")</f>
        <v>2</v>
      </c>
      <c r="R20" s="38" cm="1">
        <f t="array" ref="R20">_xlfn.XLOOKUP(SUMMARY!$N20&amp;"|"&amp;SUMMARY!$O20,Hook_Bollard_Forces!$C$2:$C$209&amp;"|"&amp;Hook_Bollard_Forces!$F$2:$F$209,Hook_Bollard_Forces!$D$2:$D$209,"")</f>
        <v>-46</v>
      </c>
      <c r="S20" s="38" cm="1">
        <f t="array" ref="S20">_xlfn.XLOOKUP(SUMMARY!$N20&amp;"|"&amp;SUMMARY!$O20,Hook_Bollard_Forces!$C$2:$C$209&amp;"|"&amp;Hook_Bollard_Forces!$F$2:$F$209,Hook_Bollard_Forces!$E$2:$E$209,"")</f>
        <v>4.5</v>
      </c>
      <c r="T20" s="38" cm="1">
        <f t="array" ref="T20">_xlfn.XLOOKUP(SUMMARY!$N20&amp;"|"&amp;SUMMARY!$O20,Hook_Bollard_Forces!$C$2:$C$209&amp;"|"&amp;Hook_Bollard_Forces!$F$2:$F$209,Hook_Bollard_Forces!$H$2:$H$209,"")</f>
        <v>-86</v>
      </c>
      <c r="U20" s="38" cm="1">
        <f t="array" ref="U20">_xlfn.XLOOKUP(SUMMARY!$N20&amp;"|"&amp;SUMMARY!$O20,Hook_Bollard_Forces!$C$2:$C$209&amp;"|"&amp;Hook_Bollard_Forces!$F$2:$F$209,Hook_Bollard_Forces!$I$2:$I$209,"")</f>
        <v>8.5</v>
      </c>
      <c r="V20" s="38">
        <f>_xlfn.XLOOKUP(SUMMARY!$Q20,Cases!$B$2:$B$5,Cases!$C$2:$C$5,"")</f>
        <v>0.57999999999999996</v>
      </c>
      <c r="W20" s="38">
        <f>_xlfn.XLOOKUP(SUMMARY!$Q20,Cases!$B$2:$B$5,Cases!$D$2:$D$5,"")</f>
        <v>16</v>
      </c>
      <c r="Y20" s="30">
        <f t="shared" ref="Y20:Y31" si="4">+Y19+1</f>
        <v>3</v>
      </c>
      <c r="Z20" s="34" t="str">
        <v>ff</v>
      </c>
      <c r="AA20" s="34">
        <f>IF(_xlfn.MAXIFS(Fenders!$F$2:$F$5000,Fenders!$C$2:$C$5000,SUBSTITUTE(SUMMARY!$Z20,"*","~*"))&gt;0,_xlfn.MAXIFS(Fenders!$F$2:$F$5000,Fenders!$C$2:$C$5000,SUBSTITUTE(SUMMARY!$Z20,"*","~*")),"")</f>
        <v>2.9</v>
      </c>
      <c r="AB20" s="35">
        <f t="shared" si="0"/>
        <v>15</v>
      </c>
      <c r="AC20" s="36">
        <f t="shared" si="1"/>
        <v>0.19333333333333333</v>
      </c>
    </row>
    <row r="21" spans="1:29" ht="15" customHeight="1" x14ac:dyDescent="0.25">
      <c r="A21" s="31">
        <f t="shared" si="2"/>
        <v>4</v>
      </c>
      <c r="B21" s="34" t="str">
        <v>4-A</v>
      </c>
      <c r="C21" s="34">
        <f>IF(_xlfn.MAXIFS(Line_Tensions!$J$2:$J$5000,Line_Tensions!$C$2:$C$5000,SUBSTITUTE(SUMMARY!$B21,"*","~*"))&gt;0,_xlfn.MAXIFS(Line_Tensions!$J$2:$J$5000,Line_Tensions!$C$2:$C$5000,SUBSTITUTE(SUMMARY!$B21,"*","~*")),"")</f>
        <v>53.1</v>
      </c>
      <c r="D21" s="37" cm="1">
        <f t="array" ref="D21">_xlfn.XLOOKUP(SUMMARY!$B21&amp;"|"&amp;SUMMARY!$C21,Line_Tensions!$C$2:$C$65&amp;"|"&amp;Line_Tensions!$J$2:$J$65,Line_Tensions!$K$2:$K$65,"")</f>
        <v>0.31</v>
      </c>
      <c r="E21" s="34" cm="1">
        <f t="array" ref="E21">_xlfn.XLOOKUP(SUMMARY!$B21&amp;"|"&amp;SUMMARY!$C21,Line_Tensions!$C$2:$C$65&amp;"|"&amp;Line_Tensions!$J$2:$J$65,Line_Tensions!$B$2:$B$65,"")</f>
        <v>3</v>
      </c>
      <c r="F21" s="38" cm="1">
        <f t="array" ref="F21">_xlfn.XLOOKUP(SUMMARY!$B21&amp;"|"&amp;SUMMARY!$C21,Line_Tensions!$C$2:$C$65&amp;"|"&amp;Line_Tensions!$J$2:$J$65,Line_Tensions!$H$2:$H$65,"")</f>
        <v>-120</v>
      </c>
      <c r="G21" s="38" cm="1">
        <f t="array" ref="G21">_xlfn.XLOOKUP(SUMMARY!$B21&amp;"|"&amp;SUMMARY!$C21,Line_Tensions!$C$2:$C$65&amp;"|"&amp;Line_Tensions!$J$2:$J$65,Line_Tensions!$I$2:$I$65,"")</f>
        <v>60</v>
      </c>
      <c r="H21" s="38" cm="1">
        <f t="array" ref="H21">_xlfn.XLOOKUP(SUMMARY!$B21&amp;"|"&amp;SUMMARY!$C21,Line_Tensions!$C$2:$C$65&amp;"|"&amp;Line_Tensions!$J$2:$J$65,Line_Tensions!$D$2:$D$65,"")</f>
        <v>0.26</v>
      </c>
      <c r="I21" s="38" cm="1">
        <f t="array" ref="I21">_xlfn.XLOOKUP(SUMMARY!$B21&amp;"|"&amp;SUMMARY!$C21,Line_Tensions!$C$2:$C$65&amp;"|"&amp;Line_Tensions!$J$2:$J$65,Line_Tensions!$E$2:$E$65,"")</f>
        <v>28.2</v>
      </c>
      <c r="J21" s="38">
        <f>_xlfn.XLOOKUP(SUMMARY!$E21,Cases!$B$2:$B$5,Cases!$C$2:$C$5,"")</f>
        <v>4</v>
      </c>
      <c r="K21" s="38">
        <f>_xlfn.XLOOKUP(SUMMARY!$E21,Cases!$B$2:$B$5,Cases!$D$2:$D$5,"")</f>
        <v>14.5</v>
      </c>
      <c r="M21" s="30">
        <f t="shared" si="3"/>
        <v>4</v>
      </c>
      <c r="N21" s="34" t="str">
        <v>*A</v>
      </c>
      <c r="O21" s="34">
        <f>IF(_xlfn.MAXIFS(Hook_Bollard_Forces!$F$2:$F$5000,Hook_Bollard_Forces!$C$2:$C$5000,SUBSTITUTE(SUMMARY!$N21,"*","~*"))&gt;0,_xlfn.MAXIFS(Hook_Bollard_Forces!$F$2:$F$5000,Hook_Bollard_Forces!$C$2:$C$5000,SUBSTITUTE(SUMMARY!$N21,"*","~*")),"")</f>
        <v>59</v>
      </c>
      <c r="P21" s="37" cm="1">
        <f t="array" ref="P21">_xlfn.XLOOKUP(SUMMARY!$N21&amp;"|"&amp;SUMMARY!$O21,Hook_Bollard_Forces!$C$2:$C$209&amp;"|"&amp;Hook_Bollard_Forces!$F$2:$F$209,Hook_Bollard_Forces!$G$2:$G$209,"")</f>
        <v>0.3</v>
      </c>
      <c r="Q21" s="34" cm="1">
        <f t="array" ref="Q21">_xlfn.XLOOKUP(SUMMARY!$N21&amp;"|"&amp;SUMMARY!$O21,Hook_Bollard_Forces!$C$2:$C$209&amp;"|"&amp;Hook_Bollard_Forces!$F$2:$F$209,Hook_Bollard_Forces!$B$2:$B$209,"")</f>
        <v>4</v>
      </c>
      <c r="R21" s="38" cm="1">
        <f t="array" ref="R21">_xlfn.XLOOKUP(SUMMARY!$N21&amp;"|"&amp;SUMMARY!$O21,Hook_Bollard_Forces!$C$2:$C$209&amp;"|"&amp;Hook_Bollard_Forces!$F$2:$F$209,Hook_Bollard_Forces!$D$2:$D$209,"")</f>
        <v>53.6</v>
      </c>
      <c r="S21" s="38" cm="1">
        <f t="array" ref="S21">_xlfn.XLOOKUP(SUMMARY!$N21&amp;"|"&amp;SUMMARY!$O21,Hook_Bollard_Forces!$C$2:$C$209&amp;"|"&amp;Hook_Bollard_Forces!$F$2:$F$209,Hook_Bollard_Forces!$E$2:$E$209,"")</f>
        <v>14.3</v>
      </c>
      <c r="T21" s="38" cm="1">
        <f t="array" ref="T21">_xlfn.XLOOKUP(SUMMARY!$N21&amp;"|"&amp;SUMMARY!$O21,Hook_Bollard_Forces!$C$2:$C$209&amp;"|"&amp;Hook_Bollard_Forces!$F$2:$F$209,Hook_Bollard_Forces!$H$2:$H$209,"")</f>
        <v>75</v>
      </c>
      <c r="U21" s="38" cm="1">
        <f t="array" ref="U21">_xlfn.XLOOKUP(SUMMARY!$N21&amp;"|"&amp;SUMMARY!$O21,Hook_Bollard_Forces!$C$2:$C$209&amp;"|"&amp;Hook_Bollard_Forces!$F$2:$F$209,Hook_Bollard_Forces!$I$2:$I$209,"")</f>
        <v>20.100000000000001</v>
      </c>
      <c r="V21" s="38">
        <f>_xlfn.XLOOKUP(SUMMARY!$Q21,Cases!$B$2:$B$5,Cases!$C$2:$C$5,"")</f>
        <v>0.57999999999999996</v>
      </c>
      <c r="W21" s="38">
        <f>_xlfn.XLOOKUP(SUMMARY!$Q21,Cases!$B$2:$B$5,Cases!$D$2:$D$5,"")</f>
        <v>14.5</v>
      </c>
      <c r="Y21" s="30">
        <f t="shared" si="4"/>
        <v>4</v>
      </c>
      <c r="Z21" s="34" t="str">
        <v>gg</v>
      </c>
      <c r="AA21" s="34">
        <f>IF(_xlfn.MAXIFS(Fenders!$F$2:$F$5000,Fenders!$C$2:$C$5000,SUBSTITUTE(SUMMARY!$Z21,"*","~*"))&gt;0,_xlfn.MAXIFS(Fenders!$F$2:$F$5000,Fenders!$C$2:$C$5000,SUBSTITUTE(SUMMARY!$Z21,"*","~*")),"")</f>
        <v>2.6</v>
      </c>
      <c r="AB21" s="35">
        <f t="shared" si="0"/>
        <v>15</v>
      </c>
      <c r="AC21" s="36">
        <f t="shared" si="1"/>
        <v>0.17333333333333334</v>
      </c>
    </row>
    <row r="22" spans="1:29" ht="15" customHeight="1" x14ac:dyDescent="0.25">
      <c r="A22" s="31">
        <f t="shared" si="2"/>
        <v>5</v>
      </c>
      <c r="B22" s="34" t="str">
        <v>5-B</v>
      </c>
      <c r="C22" s="34">
        <f>IF(_xlfn.MAXIFS(Line_Tensions!$J$2:$J$5000,Line_Tensions!$C$2:$C$5000,SUBSTITUTE(SUMMARY!$B22,"*","~*"))&gt;0,_xlfn.MAXIFS(Line_Tensions!$J$2:$J$5000,Line_Tensions!$C$2:$C$5000,SUBSTITUTE(SUMMARY!$B22,"*","~*")),"")</f>
        <v>56.9</v>
      </c>
      <c r="D22" s="37" cm="1">
        <f t="array" ref="D22">_xlfn.XLOOKUP(SUMMARY!$B22&amp;"|"&amp;SUMMARY!$C22,Line_Tensions!$C$2:$C$65&amp;"|"&amp;Line_Tensions!$J$2:$J$65,Line_Tensions!$K$2:$K$65,"")</f>
        <v>0.33</v>
      </c>
      <c r="E22" s="34" cm="1">
        <f t="array" ref="E22">_xlfn.XLOOKUP(SUMMARY!$B22&amp;"|"&amp;SUMMARY!$C22,Line_Tensions!$C$2:$C$65&amp;"|"&amp;Line_Tensions!$J$2:$J$65,Line_Tensions!$B$2:$B$65,"")</f>
        <v>2</v>
      </c>
      <c r="F22" s="38" cm="1">
        <f t="array" ref="F22">_xlfn.XLOOKUP(SUMMARY!$B22&amp;"|"&amp;SUMMARY!$C22,Line_Tensions!$C$2:$C$65&amp;"|"&amp;Line_Tensions!$J$2:$J$65,Line_Tensions!$H$2:$H$65,"")</f>
        <v>-120</v>
      </c>
      <c r="G22" s="38" cm="1">
        <f t="array" ref="G22">_xlfn.XLOOKUP(SUMMARY!$B22&amp;"|"&amp;SUMMARY!$C22,Line_Tensions!$C$2:$C$65&amp;"|"&amp;Line_Tensions!$J$2:$J$65,Line_Tensions!$I$2:$I$65,"")</f>
        <v>60</v>
      </c>
      <c r="H22" s="38" cm="1">
        <f t="array" ref="H22">_xlfn.XLOOKUP(SUMMARY!$B22&amp;"|"&amp;SUMMARY!$C22,Line_Tensions!$C$2:$C$65&amp;"|"&amp;Line_Tensions!$J$2:$J$65,Line_Tensions!$D$2:$D$65,"")</f>
        <v>0.32</v>
      </c>
      <c r="I22" s="38" cm="1">
        <f t="array" ref="I22">_xlfn.XLOOKUP(SUMMARY!$B22&amp;"|"&amp;SUMMARY!$C22,Line_Tensions!$C$2:$C$65&amp;"|"&amp;Line_Tensions!$J$2:$J$65,Line_Tensions!$E$2:$E$65,"")</f>
        <v>34.799999999999997</v>
      </c>
      <c r="J22" s="38">
        <f>_xlfn.XLOOKUP(SUMMARY!$E22,Cases!$B$2:$B$5,Cases!$C$2:$C$5,"")</f>
        <v>0.57999999999999996</v>
      </c>
      <c r="K22" s="38">
        <f>_xlfn.XLOOKUP(SUMMARY!$E22,Cases!$B$2:$B$5,Cases!$D$2:$D$5,"")</f>
        <v>16</v>
      </c>
      <c r="M22" s="30">
        <f t="shared" si="3"/>
        <v>5</v>
      </c>
      <c r="N22" s="34" t="str">
        <v>*E</v>
      </c>
      <c r="O22" s="34">
        <f>IF(_xlfn.MAXIFS(Hook_Bollard_Forces!$F$2:$F$5000,Hook_Bollard_Forces!$C$2:$C$5000,SUBSTITUTE(SUMMARY!$N22,"*","~*"))&gt;0,_xlfn.MAXIFS(Hook_Bollard_Forces!$F$2:$F$5000,Hook_Bollard_Forces!$C$2:$C$5000,SUBSTITUTE(SUMMARY!$N22,"*","~*")),"")</f>
        <v>171.7</v>
      </c>
      <c r="P22" s="37" cm="1">
        <f t="array" ref="P22">_xlfn.XLOOKUP(SUMMARY!$N22&amp;"|"&amp;SUMMARY!$O22,Hook_Bollard_Forces!$C$2:$C$209&amp;"|"&amp;Hook_Bollard_Forces!$F$2:$F$209,Hook_Bollard_Forces!$G$2:$G$209,"")</f>
        <v>0.86</v>
      </c>
      <c r="Q22" s="34" cm="1">
        <f t="array" ref="Q22">_xlfn.XLOOKUP(SUMMARY!$N22&amp;"|"&amp;SUMMARY!$O22,Hook_Bollard_Forces!$C$2:$C$209&amp;"|"&amp;Hook_Bollard_Forces!$F$2:$F$209,Hook_Bollard_Forces!$B$2:$B$209,"")</f>
        <v>3</v>
      </c>
      <c r="R22" s="38" cm="1">
        <f t="array" ref="R22">_xlfn.XLOOKUP(SUMMARY!$N22&amp;"|"&amp;SUMMARY!$O22,Hook_Bollard_Forces!$C$2:$C$209&amp;"|"&amp;Hook_Bollard_Forces!$F$2:$F$209,Hook_Bollard_Forces!$D$2:$D$209,"")</f>
        <v>-61.9</v>
      </c>
      <c r="S22" s="38" cm="1">
        <f t="array" ref="S22">_xlfn.XLOOKUP(SUMMARY!$N22&amp;"|"&amp;SUMMARY!$O22,Hook_Bollard_Forces!$C$2:$C$209&amp;"|"&amp;Hook_Bollard_Forces!$F$2:$F$209,Hook_Bollard_Forces!$E$2:$E$209,"")</f>
        <v>140.6</v>
      </c>
      <c r="T22" s="38" cm="1">
        <f t="array" ref="T22">_xlfn.XLOOKUP(SUMMARY!$N22&amp;"|"&amp;SUMMARY!$O22,Hook_Bollard_Forces!$C$2:$C$209&amp;"|"&amp;Hook_Bollard_Forces!$F$2:$F$209,Hook_Bollard_Forces!$H$2:$H$209,"")</f>
        <v>-24</v>
      </c>
      <c r="U22" s="38" cm="1">
        <f t="array" ref="U22">_xlfn.XLOOKUP(SUMMARY!$N22&amp;"|"&amp;SUMMARY!$O22,Hook_Bollard_Forces!$C$2:$C$209&amp;"|"&amp;Hook_Bollard_Forces!$F$2:$F$209,Hook_Bollard_Forces!$I$2:$I$209,"")</f>
        <v>76.7</v>
      </c>
      <c r="V22" s="38">
        <f>_xlfn.XLOOKUP(SUMMARY!$Q22,Cases!$B$2:$B$5,Cases!$C$2:$C$5,"")</f>
        <v>4</v>
      </c>
      <c r="W22" s="38">
        <f>_xlfn.XLOOKUP(SUMMARY!$Q22,Cases!$B$2:$B$5,Cases!$D$2:$D$5,"")</f>
        <v>14.5</v>
      </c>
      <c r="Y22" s="30">
        <f t="shared" si="4"/>
        <v>5</v>
      </c>
      <c r="Z22" s="34" t="str">
        <v>hh</v>
      </c>
      <c r="AA22" s="34">
        <f>IF(_xlfn.MAXIFS(Fenders!$F$2:$F$5000,Fenders!$C$2:$C$5000,SUBSTITUTE(SUMMARY!$Z22,"*","~*"))&gt;0,_xlfn.MAXIFS(Fenders!$F$2:$F$5000,Fenders!$C$2:$C$5000,SUBSTITUTE(SUMMARY!$Z22,"*","~*")),"")</f>
        <v>2.4</v>
      </c>
      <c r="AB22" s="35">
        <f t="shared" si="0"/>
        <v>15</v>
      </c>
      <c r="AC22" s="36">
        <f t="shared" si="1"/>
        <v>0.16</v>
      </c>
    </row>
    <row r="23" spans="1:29" x14ac:dyDescent="0.25">
      <c r="A23" s="31">
        <f t="shared" si="2"/>
        <v>6</v>
      </c>
      <c r="B23" s="34" t="str">
        <v>6-B</v>
      </c>
      <c r="C23" s="34">
        <f>IF(_xlfn.MAXIFS(Line_Tensions!$J$2:$J$5000,Line_Tensions!$C$2:$C$5000,SUBSTITUTE(SUMMARY!$B23,"*","~*"))&gt;0,_xlfn.MAXIFS(Line_Tensions!$J$2:$J$5000,Line_Tensions!$C$2:$C$5000,SUBSTITUTE(SUMMARY!$B23,"*","~*")),"")</f>
        <v>59.2</v>
      </c>
      <c r="D23" s="37" cm="1">
        <f t="array" ref="D23">_xlfn.XLOOKUP(SUMMARY!$B23&amp;"|"&amp;SUMMARY!$C23,Line_Tensions!$C$2:$C$65&amp;"|"&amp;Line_Tensions!$J$2:$J$65,Line_Tensions!$K$2:$K$65,"")</f>
        <v>0.35</v>
      </c>
      <c r="E23" s="34" cm="1">
        <f t="array" ref="E23">_xlfn.XLOOKUP(SUMMARY!$B23&amp;"|"&amp;SUMMARY!$C23,Line_Tensions!$C$2:$C$65&amp;"|"&amp;Line_Tensions!$J$2:$J$65,Line_Tensions!$B$2:$B$65,"")</f>
        <v>2</v>
      </c>
      <c r="F23" s="38" cm="1">
        <f t="array" ref="F23">_xlfn.XLOOKUP(SUMMARY!$B23&amp;"|"&amp;SUMMARY!$C23,Line_Tensions!$C$2:$C$65&amp;"|"&amp;Line_Tensions!$J$2:$J$65,Line_Tensions!$H$2:$H$65,"")</f>
        <v>-120</v>
      </c>
      <c r="G23" s="38" cm="1">
        <f t="array" ref="G23">_xlfn.XLOOKUP(SUMMARY!$B23&amp;"|"&amp;SUMMARY!$C23,Line_Tensions!$C$2:$C$65&amp;"|"&amp;Line_Tensions!$J$2:$J$65,Line_Tensions!$I$2:$I$65,"")</f>
        <v>60</v>
      </c>
      <c r="H23" s="38" cm="1">
        <f t="array" ref="H23">_xlfn.XLOOKUP(SUMMARY!$B23&amp;"|"&amp;SUMMARY!$C23,Line_Tensions!$C$2:$C$65&amp;"|"&amp;Line_Tensions!$J$2:$J$65,Line_Tensions!$D$2:$D$65,"")</f>
        <v>0.33</v>
      </c>
      <c r="I23" s="38" cm="1">
        <f t="array" ref="I23">_xlfn.XLOOKUP(SUMMARY!$B23&amp;"|"&amp;SUMMARY!$C23,Line_Tensions!$C$2:$C$65&amp;"|"&amp;Line_Tensions!$J$2:$J$65,Line_Tensions!$E$2:$E$65,"")</f>
        <v>36</v>
      </c>
      <c r="J23" s="38">
        <f>_xlfn.XLOOKUP(SUMMARY!$E23,Cases!$B$2:$B$5,Cases!$C$2:$C$5,"")</f>
        <v>0.57999999999999996</v>
      </c>
      <c r="K23" s="38">
        <f>_xlfn.XLOOKUP(SUMMARY!$E23,Cases!$B$2:$B$5,Cases!$D$2:$D$5,"")</f>
        <v>16</v>
      </c>
      <c r="M23" s="30">
        <f t="shared" si="3"/>
        <v>6</v>
      </c>
      <c r="N23" s="34" t="str">
        <v>*F</v>
      </c>
      <c r="O23" s="34">
        <f>IF(_xlfn.MAXIFS(Hook_Bollard_Forces!$F$2:$F$5000,Hook_Bollard_Forces!$C$2:$C$5000,SUBSTITUTE(SUMMARY!$N23,"*","~*"))&gt;0,_xlfn.MAXIFS(Hook_Bollard_Forces!$F$2:$F$5000,Hook_Bollard_Forces!$C$2:$C$5000,SUBSTITUTE(SUMMARY!$N23,"*","~*")),"")</f>
        <v>182.4</v>
      </c>
      <c r="P23" s="37" cm="1">
        <f t="array" ref="P23">_xlfn.XLOOKUP(SUMMARY!$N23&amp;"|"&amp;SUMMARY!$O23,Hook_Bollard_Forces!$C$2:$C$209&amp;"|"&amp;Hook_Bollard_Forces!$F$2:$F$209,Hook_Bollard_Forces!$G$2:$G$209,"")</f>
        <v>0.91</v>
      </c>
      <c r="Q23" s="34" cm="1">
        <f t="array" ref="Q23">_xlfn.XLOOKUP(SUMMARY!$N23&amp;"|"&amp;SUMMARY!$O23,Hook_Bollard_Forces!$C$2:$C$209&amp;"|"&amp;Hook_Bollard_Forces!$F$2:$F$209,Hook_Bollard_Forces!$B$2:$B$209,"")</f>
        <v>2</v>
      </c>
      <c r="R23" s="38" cm="1">
        <f t="array" ref="R23">_xlfn.XLOOKUP(SUMMARY!$N23&amp;"|"&amp;SUMMARY!$O23,Hook_Bollard_Forces!$C$2:$C$209&amp;"|"&amp;Hook_Bollard_Forces!$F$2:$F$209,Hook_Bollard_Forces!$D$2:$D$209,"")</f>
        <v>-73.099999999999994</v>
      </c>
      <c r="S23" s="38" cm="1">
        <f t="array" ref="S23">_xlfn.XLOOKUP(SUMMARY!$N23&amp;"|"&amp;SUMMARY!$O23,Hook_Bollard_Forces!$C$2:$C$209&amp;"|"&amp;Hook_Bollard_Forces!$F$2:$F$209,Hook_Bollard_Forces!$E$2:$E$209,"")</f>
        <v>164.6</v>
      </c>
      <c r="T23" s="38" cm="1">
        <f t="array" ref="T23">_xlfn.XLOOKUP(SUMMARY!$N23&amp;"|"&amp;SUMMARY!$O23,Hook_Bollard_Forces!$C$2:$C$209&amp;"|"&amp;Hook_Bollard_Forces!$F$2:$F$209,Hook_Bollard_Forces!$H$2:$H$209,"")</f>
        <v>-24</v>
      </c>
      <c r="U23" s="38" cm="1">
        <f t="array" ref="U23">_xlfn.XLOOKUP(SUMMARY!$N23&amp;"|"&amp;SUMMARY!$O23,Hook_Bollard_Forces!$C$2:$C$209&amp;"|"&amp;Hook_Bollard_Forces!$F$2:$F$209,Hook_Bollard_Forces!$I$2:$I$209,"")</f>
        <v>28.9</v>
      </c>
      <c r="V23" s="38">
        <f>_xlfn.XLOOKUP(SUMMARY!$Q23,Cases!$B$2:$B$5,Cases!$C$2:$C$5,"")</f>
        <v>0.57999999999999996</v>
      </c>
      <c r="W23" s="38">
        <f>_xlfn.XLOOKUP(SUMMARY!$Q23,Cases!$B$2:$B$5,Cases!$D$2:$D$5,"")</f>
        <v>16</v>
      </c>
      <c r="Y23" s="30">
        <f t="shared" si="4"/>
        <v>6</v>
      </c>
      <c r="Z23" s="34" t="str">
        <v>ii</v>
      </c>
      <c r="AA23" s="34">
        <f>IF(_xlfn.MAXIFS(Fenders!$F$2:$F$5000,Fenders!$C$2:$C$5000,SUBSTITUTE(SUMMARY!$Z23,"*","~*"))&gt;0,_xlfn.MAXIFS(Fenders!$F$2:$F$5000,Fenders!$C$2:$C$5000,SUBSTITUTE(SUMMARY!$Z23,"*","~*")),"")</f>
        <v>2.2000000000000002</v>
      </c>
      <c r="AB23" s="35">
        <f t="shared" si="0"/>
        <v>15</v>
      </c>
      <c r="AC23" s="36">
        <f t="shared" si="1"/>
        <v>0.14666666666666667</v>
      </c>
    </row>
    <row r="24" spans="1:29" x14ac:dyDescent="0.25">
      <c r="A24" s="31">
        <f t="shared" si="2"/>
        <v>7</v>
      </c>
      <c r="B24" s="34" t="str">
        <v>12-G</v>
      </c>
      <c r="C24" s="34">
        <f>IF(_xlfn.MAXIFS(Line_Tensions!$J$2:$J$5000,Line_Tensions!$C$2:$C$5000,SUBSTITUTE(SUMMARY!$B24,"*","~*"))&gt;0,_xlfn.MAXIFS(Line_Tensions!$J$2:$J$5000,Line_Tensions!$C$2:$C$5000,SUBSTITUTE(SUMMARY!$B24,"*","~*")),"")</f>
        <v>22.5</v>
      </c>
      <c r="D24" s="37" cm="1">
        <f t="array" ref="D24">_xlfn.XLOOKUP(SUMMARY!$B24&amp;"|"&amp;SUMMARY!$C24,Line_Tensions!$C$2:$C$65&amp;"|"&amp;Line_Tensions!$J$2:$J$65,Line_Tensions!$K$2:$K$65,"")</f>
        <v>0.13</v>
      </c>
      <c r="E24" s="34" cm="1">
        <f t="array" ref="E24">_xlfn.XLOOKUP(SUMMARY!$B24&amp;"|"&amp;SUMMARY!$C24,Line_Tensions!$C$2:$C$65&amp;"|"&amp;Line_Tensions!$J$2:$J$65,Line_Tensions!$B$2:$B$65,"")</f>
        <v>2</v>
      </c>
      <c r="F24" s="38" cm="1">
        <f t="array" ref="F24">_xlfn.XLOOKUP(SUMMARY!$B24&amp;"|"&amp;SUMMARY!$C24,Line_Tensions!$C$2:$C$65&amp;"|"&amp;Line_Tensions!$J$2:$J$65,Line_Tensions!$H$2:$H$65,"")</f>
        <v>30</v>
      </c>
      <c r="G24" s="38" cm="1">
        <f t="array" ref="G24">_xlfn.XLOOKUP(SUMMARY!$B24&amp;"|"&amp;SUMMARY!$C24,Line_Tensions!$C$2:$C$65&amp;"|"&amp;Line_Tensions!$J$2:$J$65,Line_Tensions!$I$2:$I$65,"")</f>
        <v>210</v>
      </c>
      <c r="H24" s="38" cm="1">
        <f t="array" ref="H24">_xlfn.XLOOKUP(SUMMARY!$B24&amp;"|"&amp;SUMMARY!$C24,Line_Tensions!$C$2:$C$65&amp;"|"&amp;Line_Tensions!$J$2:$J$65,Line_Tensions!$D$2:$D$65,"")</f>
        <v>0.42</v>
      </c>
      <c r="I24" s="38" cm="1">
        <f t="array" ref="I24">_xlfn.XLOOKUP(SUMMARY!$B24&amp;"|"&amp;SUMMARY!$C24,Line_Tensions!$C$2:$C$65&amp;"|"&amp;Line_Tensions!$J$2:$J$65,Line_Tensions!$E$2:$E$65,"")</f>
        <v>45.2</v>
      </c>
      <c r="J24" s="38">
        <f>_xlfn.XLOOKUP(SUMMARY!$E24,Cases!$B$2:$B$5,Cases!$C$2:$C$5,"")</f>
        <v>0.57999999999999996</v>
      </c>
      <c r="K24" s="38">
        <f>_xlfn.XLOOKUP(SUMMARY!$E24,Cases!$B$2:$B$5,Cases!$D$2:$D$5,"")</f>
        <v>16</v>
      </c>
      <c r="M24" s="30">
        <f t="shared" si="3"/>
        <v>7</v>
      </c>
      <c r="N24" s="34"/>
      <c r="O24" s="34" t="str">
        <f>IF(_xlfn.MAXIFS(Hook_Bollard_Forces!$F$2:$F$5000,Hook_Bollard_Forces!$C$2:$C$5000,SUBSTITUTE(SUMMARY!$N24,"*","~*"))&gt;0,_xlfn.MAXIFS(Hook_Bollard_Forces!$F$2:$F$5000,Hook_Bollard_Forces!$C$2:$C$5000,SUBSTITUTE(SUMMARY!$N24,"*","~*")),"")</f>
        <v/>
      </c>
      <c r="P24" s="37" t="str" cm="1">
        <f t="array" ref="P24">_xlfn.XLOOKUP(SUMMARY!$N24&amp;"|"&amp;SUMMARY!$O24,Hook_Bollard_Forces!$C$2:$C$209&amp;"|"&amp;Hook_Bollard_Forces!$F$2:$F$209,Hook_Bollard_Forces!$G$2:$G$209,"")</f>
        <v/>
      </c>
      <c r="Q24" s="34" t="str" cm="1">
        <f t="array" ref="Q24">_xlfn.XLOOKUP(SUMMARY!$N24&amp;"|"&amp;SUMMARY!$O24,Hook_Bollard_Forces!$C$2:$C$209&amp;"|"&amp;Hook_Bollard_Forces!$F$2:$F$209,Hook_Bollard_Forces!$B$2:$B$209,"")</f>
        <v/>
      </c>
      <c r="R24" s="38" t="str" cm="1">
        <f t="array" ref="R24">_xlfn.XLOOKUP(SUMMARY!$N24&amp;"|"&amp;SUMMARY!$O24,Hook_Bollard_Forces!$C$2:$C$209&amp;"|"&amp;Hook_Bollard_Forces!$F$2:$F$209,Hook_Bollard_Forces!$D$2:$D$209,"")</f>
        <v/>
      </c>
      <c r="S24" s="38" t="str" cm="1">
        <f t="array" ref="S24">_xlfn.XLOOKUP(SUMMARY!$N24&amp;"|"&amp;SUMMARY!$O24,Hook_Bollard_Forces!$C$2:$C$209&amp;"|"&amp;Hook_Bollard_Forces!$F$2:$F$209,Hook_Bollard_Forces!$E$2:$E$209,"")</f>
        <v/>
      </c>
      <c r="T24" s="38" t="str" cm="1">
        <f t="array" ref="T24">_xlfn.XLOOKUP(SUMMARY!$N24&amp;"|"&amp;SUMMARY!$O24,Hook_Bollard_Forces!$C$2:$C$209&amp;"|"&amp;Hook_Bollard_Forces!$F$2:$F$209,Hook_Bollard_Forces!$H$2:$H$209,"")</f>
        <v/>
      </c>
      <c r="U24" s="38" t="str" cm="1">
        <f t="array" ref="U24">_xlfn.XLOOKUP(SUMMARY!$N24&amp;"|"&amp;SUMMARY!$O24,Hook_Bollard_Forces!$C$2:$C$209&amp;"|"&amp;Hook_Bollard_Forces!$F$2:$F$209,Hook_Bollard_Forces!$I$2:$I$209,"")</f>
        <v/>
      </c>
      <c r="V24" s="38" t="str">
        <f>_xlfn.XLOOKUP(SUMMARY!$Q24,Cases!$B$2:$B$5,Cases!$C$2:$C$5,"")</f>
        <v/>
      </c>
      <c r="W24" s="38" t="str">
        <f>_xlfn.XLOOKUP(SUMMARY!$Q24,Cases!$B$2:$B$5,Cases!$D$2:$D$5,"")</f>
        <v/>
      </c>
      <c r="Y24" s="30">
        <f t="shared" si="4"/>
        <v>7</v>
      </c>
      <c r="Z24" s="34" t="str">
        <v>jj</v>
      </c>
      <c r="AA24" s="34">
        <f>IF(_xlfn.MAXIFS(Fenders!$F$2:$F$5000,Fenders!$C$2:$C$5000,SUBSTITUTE(SUMMARY!$Z24,"*","~*"))&gt;0,_xlfn.MAXIFS(Fenders!$F$2:$F$5000,Fenders!$C$2:$C$5000,SUBSTITUTE(SUMMARY!$Z24,"*","~*")),"")</f>
        <v>2</v>
      </c>
      <c r="AB24" s="35">
        <f t="shared" si="0"/>
        <v>15</v>
      </c>
      <c r="AC24" s="36">
        <f t="shared" si="1"/>
        <v>0.13333333333333333</v>
      </c>
    </row>
    <row r="25" spans="1:29" x14ac:dyDescent="0.25">
      <c r="A25" s="31">
        <f t="shared" si="2"/>
        <v>8</v>
      </c>
      <c r="B25" s="34" t="str">
        <v>13-G</v>
      </c>
      <c r="C25" s="34">
        <f>IF(_xlfn.MAXIFS(Line_Tensions!$J$2:$J$5000,Line_Tensions!$C$2:$C$5000,SUBSTITUTE(SUMMARY!$B25,"*","~*"))&gt;0,_xlfn.MAXIFS(Line_Tensions!$J$2:$J$5000,Line_Tensions!$C$2:$C$5000,SUBSTITUTE(SUMMARY!$B25,"*","~*")),"")</f>
        <v>24.4</v>
      </c>
      <c r="D25" s="37" cm="1">
        <f t="array" ref="D25">_xlfn.XLOOKUP(SUMMARY!$B25&amp;"|"&amp;SUMMARY!$C25,Line_Tensions!$C$2:$C$65&amp;"|"&amp;Line_Tensions!$J$2:$J$65,Line_Tensions!$K$2:$K$65,"")</f>
        <v>0.08</v>
      </c>
      <c r="E25" s="34" cm="1">
        <f t="array" ref="E25">_xlfn.XLOOKUP(SUMMARY!$B25&amp;"|"&amp;SUMMARY!$C25,Line_Tensions!$C$2:$C$65&amp;"|"&amp;Line_Tensions!$J$2:$J$65,Line_Tensions!$B$2:$B$65,"")</f>
        <v>2</v>
      </c>
      <c r="F25" s="38" cm="1">
        <f t="array" ref="F25">_xlfn.XLOOKUP(SUMMARY!$B25&amp;"|"&amp;SUMMARY!$C25,Line_Tensions!$C$2:$C$65&amp;"|"&amp;Line_Tensions!$J$2:$J$65,Line_Tensions!$H$2:$H$65,"")</f>
        <v>30</v>
      </c>
      <c r="G25" s="38" cm="1">
        <f t="array" ref="G25">_xlfn.XLOOKUP(SUMMARY!$B25&amp;"|"&amp;SUMMARY!$C25,Line_Tensions!$C$2:$C$65&amp;"|"&amp;Line_Tensions!$J$2:$J$65,Line_Tensions!$I$2:$I$65,"")</f>
        <v>210</v>
      </c>
      <c r="H25" s="38" cm="1">
        <f t="array" ref="H25">_xlfn.XLOOKUP(SUMMARY!$B25&amp;"|"&amp;SUMMARY!$C25,Line_Tensions!$C$2:$C$65&amp;"|"&amp;Line_Tensions!$J$2:$J$65,Line_Tensions!$D$2:$D$65,"")</f>
        <v>0.35</v>
      </c>
      <c r="I25" s="38" cm="1">
        <f t="array" ref="I25">_xlfn.XLOOKUP(SUMMARY!$B25&amp;"|"&amp;SUMMARY!$C25,Line_Tensions!$C$2:$C$65&amp;"|"&amp;Line_Tensions!$J$2:$J$65,Line_Tensions!$E$2:$E$65,"")</f>
        <v>46.5</v>
      </c>
      <c r="J25" s="38">
        <f>_xlfn.XLOOKUP(SUMMARY!$E25,Cases!$B$2:$B$5,Cases!$C$2:$C$5,"")</f>
        <v>0.57999999999999996</v>
      </c>
      <c r="K25" s="38">
        <f>_xlfn.XLOOKUP(SUMMARY!$E25,Cases!$B$2:$B$5,Cases!$D$2:$D$5,"")</f>
        <v>16</v>
      </c>
      <c r="M25" s="30">
        <f t="shared" si="3"/>
        <v>8</v>
      </c>
      <c r="N25" s="34"/>
      <c r="O25" s="34" t="str">
        <f>IF(_xlfn.MAXIFS(Hook_Bollard_Forces!$F$2:$F$5000,Hook_Bollard_Forces!$C$2:$C$5000,SUBSTITUTE(SUMMARY!$N25,"*","~*"))&gt;0,_xlfn.MAXIFS(Hook_Bollard_Forces!$F$2:$F$5000,Hook_Bollard_Forces!$C$2:$C$5000,SUBSTITUTE(SUMMARY!$N25,"*","~*")),"")</f>
        <v/>
      </c>
      <c r="P25" s="37" t="str" cm="1">
        <f t="array" ref="P25">_xlfn.XLOOKUP(SUMMARY!$N25&amp;"|"&amp;SUMMARY!$O25,Hook_Bollard_Forces!$C$2:$C$209&amp;"|"&amp;Hook_Bollard_Forces!$F$2:$F$209,Hook_Bollard_Forces!$G$2:$G$209,"")</f>
        <v/>
      </c>
      <c r="Q25" s="34" t="str" cm="1">
        <f t="array" ref="Q25">_xlfn.XLOOKUP(SUMMARY!$N25&amp;"|"&amp;SUMMARY!$O25,Hook_Bollard_Forces!$C$2:$C$209&amp;"|"&amp;Hook_Bollard_Forces!$F$2:$F$209,Hook_Bollard_Forces!$B$2:$B$209,"")</f>
        <v/>
      </c>
      <c r="R25" s="38" t="str" cm="1">
        <f t="array" ref="R25">_xlfn.XLOOKUP(SUMMARY!$N25&amp;"|"&amp;SUMMARY!$O25,Hook_Bollard_Forces!$C$2:$C$209&amp;"|"&amp;Hook_Bollard_Forces!$F$2:$F$209,Hook_Bollard_Forces!$D$2:$D$209,"")</f>
        <v/>
      </c>
      <c r="S25" s="38" t="str" cm="1">
        <f t="array" ref="S25">_xlfn.XLOOKUP(SUMMARY!$N25&amp;"|"&amp;SUMMARY!$O25,Hook_Bollard_Forces!$C$2:$C$209&amp;"|"&amp;Hook_Bollard_Forces!$F$2:$F$209,Hook_Bollard_Forces!$E$2:$E$209,"")</f>
        <v/>
      </c>
      <c r="T25" s="38" t="str" cm="1">
        <f t="array" ref="T25">_xlfn.XLOOKUP(SUMMARY!$N25&amp;"|"&amp;SUMMARY!$O25,Hook_Bollard_Forces!$C$2:$C$209&amp;"|"&amp;Hook_Bollard_Forces!$F$2:$F$209,Hook_Bollard_Forces!$H$2:$H$209,"")</f>
        <v/>
      </c>
      <c r="U25" s="38" t="str" cm="1">
        <f t="array" ref="U25">_xlfn.XLOOKUP(SUMMARY!$N25&amp;"|"&amp;SUMMARY!$O25,Hook_Bollard_Forces!$C$2:$C$209&amp;"|"&amp;Hook_Bollard_Forces!$F$2:$F$209,Hook_Bollard_Forces!$I$2:$I$209,"")</f>
        <v/>
      </c>
      <c r="V25" s="38" t="str">
        <f>_xlfn.XLOOKUP(SUMMARY!$Q25,Cases!$B$2:$B$5,Cases!$C$2:$C$5,"")</f>
        <v/>
      </c>
      <c r="W25" s="38" t="str">
        <f>_xlfn.XLOOKUP(SUMMARY!$Q25,Cases!$B$2:$B$5,Cases!$D$2:$D$5,"")</f>
        <v/>
      </c>
      <c r="Y25" s="30">
        <f t="shared" si="4"/>
        <v>8</v>
      </c>
      <c r="Z25" s="34" t="str">
        <v>kk</v>
      </c>
      <c r="AA25" s="34">
        <f>IF(_xlfn.MAXIFS(Fenders!$F$2:$F$5000,Fenders!$C$2:$C$5000,SUBSTITUTE(SUMMARY!$Z25,"*","~*"))&gt;0,_xlfn.MAXIFS(Fenders!$F$2:$F$5000,Fenders!$C$2:$C$5000,SUBSTITUTE(SUMMARY!$Z25,"*","~*")),"")</f>
        <v>2</v>
      </c>
      <c r="AB25" s="35">
        <f t="shared" si="0"/>
        <v>15</v>
      </c>
      <c r="AC25" s="36">
        <f t="shared" si="1"/>
        <v>0.13333333333333333</v>
      </c>
    </row>
    <row r="26" spans="1:29" x14ac:dyDescent="0.25">
      <c r="A26" s="31">
        <f t="shared" si="2"/>
        <v>9</v>
      </c>
      <c r="B26" s="34" t="str">
        <v>14-*A</v>
      </c>
      <c r="C26" s="34">
        <f>IF(_xlfn.MAXIFS(Line_Tensions!$J$2:$J$5000,Line_Tensions!$C$2:$C$5000,SUBSTITUTE(SUMMARY!$B26,"*","~*"))&gt;0,_xlfn.MAXIFS(Line_Tensions!$J$2:$J$5000,Line_Tensions!$C$2:$C$5000,SUBSTITUTE(SUMMARY!$B26,"*","~*")),"")</f>
        <v>31.6</v>
      </c>
      <c r="D26" s="37" cm="1">
        <f t="array" ref="D26">_xlfn.XLOOKUP(SUMMARY!$B26&amp;"|"&amp;SUMMARY!$C26,Line_Tensions!$C$2:$C$65&amp;"|"&amp;Line_Tensions!$J$2:$J$65,Line_Tensions!$K$2:$K$65,"")</f>
        <v>0.1</v>
      </c>
      <c r="E26" s="34" cm="1">
        <f t="array" ref="E26">_xlfn.XLOOKUP(SUMMARY!$B26&amp;"|"&amp;SUMMARY!$C26,Line_Tensions!$C$2:$C$65&amp;"|"&amp;Line_Tensions!$J$2:$J$65,Line_Tensions!$B$2:$B$65,"")</f>
        <v>4</v>
      </c>
      <c r="F26" s="38" cm="1">
        <f t="array" ref="F26">_xlfn.XLOOKUP(SUMMARY!$B26&amp;"|"&amp;SUMMARY!$C26,Line_Tensions!$C$2:$C$65&amp;"|"&amp;Line_Tensions!$J$2:$J$65,Line_Tensions!$H$2:$H$65,"")</f>
        <v>150</v>
      </c>
      <c r="G26" s="38" cm="1">
        <f t="array" ref="G26">_xlfn.XLOOKUP(SUMMARY!$B26&amp;"|"&amp;SUMMARY!$C26,Line_Tensions!$C$2:$C$65&amp;"|"&amp;Line_Tensions!$J$2:$J$65,Line_Tensions!$I$2:$I$65,"")</f>
        <v>330</v>
      </c>
      <c r="H26" s="38" cm="1">
        <f t="array" ref="H26">_xlfn.XLOOKUP(SUMMARY!$B26&amp;"|"&amp;SUMMARY!$C26,Line_Tensions!$C$2:$C$65&amp;"|"&amp;Line_Tensions!$J$2:$J$65,Line_Tensions!$D$2:$D$65,"")</f>
        <v>0.19</v>
      </c>
      <c r="I26" s="38" cm="1">
        <f t="array" ref="I26">_xlfn.XLOOKUP(SUMMARY!$B26&amp;"|"&amp;SUMMARY!$C26,Line_Tensions!$C$2:$C$65&amp;"|"&amp;Line_Tensions!$J$2:$J$65,Line_Tensions!$E$2:$E$65,"")</f>
        <v>30.1</v>
      </c>
      <c r="J26" s="38">
        <f>_xlfn.XLOOKUP(SUMMARY!$E26,Cases!$B$2:$B$5,Cases!$C$2:$C$5,"")</f>
        <v>0.57999999999999996</v>
      </c>
      <c r="K26" s="38">
        <f>_xlfn.XLOOKUP(SUMMARY!$E26,Cases!$B$2:$B$5,Cases!$D$2:$D$5,"")</f>
        <v>14.5</v>
      </c>
      <c r="M26" s="30">
        <f t="shared" si="3"/>
        <v>9</v>
      </c>
      <c r="N26" s="34"/>
      <c r="O26" s="34" t="str">
        <f>IF(_xlfn.MAXIFS(Hook_Bollard_Forces!$F$2:$F$5000,Hook_Bollard_Forces!$C$2:$C$5000,SUBSTITUTE(SUMMARY!$N26,"*","~*"))&gt;0,_xlfn.MAXIFS(Hook_Bollard_Forces!$F$2:$F$5000,Hook_Bollard_Forces!$C$2:$C$5000,SUBSTITUTE(SUMMARY!$N26,"*","~*")),"")</f>
        <v/>
      </c>
      <c r="P26" s="37" t="str" cm="1">
        <f t="array" ref="P26">_xlfn.XLOOKUP(SUMMARY!$N26&amp;"|"&amp;SUMMARY!$O26,Hook_Bollard_Forces!$C$2:$C$209&amp;"|"&amp;Hook_Bollard_Forces!$F$2:$F$209,Hook_Bollard_Forces!$G$2:$G$209,"")</f>
        <v/>
      </c>
      <c r="Q26" s="34" t="str" cm="1">
        <f t="array" ref="Q26">_xlfn.XLOOKUP(SUMMARY!$N26&amp;"|"&amp;SUMMARY!$O26,Hook_Bollard_Forces!$C$2:$C$209&amp;"|"&amp;Hook_Bollard_Forces!$F$2:$F$209,Hook_Bollard_Forces!$B$2:$B$209,"")</f>
        <v/>
      </c>
      <c r="R26" s="38" t="str" cm="1">
        <f t="array" ref="R26">_xlfn.XLOOKUP(SUMMARY!$N26&amp;"|"&amp;SUMMARY!$O26,Hook_Bollard_Forces!$C$2:$C$209&amp;"|"&amp;Hook_Bollard_Forces!$F$2:$F$209,Hook_Bollard_Forces!$D$2:$D$209,"")</f>
        <v/>
      </c>
      <c r="S26" s="38" t="str" cm="1">
        <f t="array" ref="S26">_xlfn.XLOOKUP(SUMMARY!$N26&amp;"|"&amp;SUMMARY!$O26,Hook_Bollard_Forces!$C$2:$C$209&amp;"|"&amp;Hook_Bollard_Forces!$F$2:$F$209,Hook_Bollard_Forces!$E$2:$E$209,"")</f>
        <v/>
      </c>
      <c r="T26" s="38" t="str" cm="1">
        <f t="array" ref="T26">_xlfn.XLOOKUP(SUMMARY!$N26&amp;"|"&amp;SUMMARY!$O26,Hook_Bollard_Forces!$C$2:$C$209&amp;"|"&amp;Hook_Bollard_Forces!$F$2:$F$209,Hook_Bollard_Forces!$H$2:$H$209,"")</f>
        <v/>
      </c>
      <c r="U26" s="38" t="str" cm="1">
        <f t="array" ref="U26">_xlfn.XLOOKUP(SUMMARY!$N26&amp;"|"&amp;SUMMARY!$O26,Hook_Bollard_Forces!$C$2:$C$209&amp;"|"&amp;Hook_Bollard_Forces!$F$2:$F$209,Hook_Bollard_Forces!$I$2:$I$209,"")</f>
        <v/>
      </c>
      <c r="V26" s="38" t="str">
        <f>_xlfn.XLOOKUP(SUMMARY!$Q26,Cases!$B$2:$B$5,Cases!$C$2:$C$5,"")</f>
        <v/>
      </c>
      <c r="W26" s="38" t="str">
        <f>_xlfn.XLOOKUP(SUMMARY!$Q26,Cases!$B$2:$B$5,Cases!$D$2:$D$5,"")</f>
        <v/>
      </c>
      <c r="Y26" s="30">
        <f t="shared" si="4"/>
        <v>9</v>
      </c>
      <c r="Z26" s="34" t="str">
        <v>ll</v>
      </c>
      <c r="AA26" s="34">
        <f>IF(_xlfn.MAXIFS(Fenders!$F$2:$F$5000,Fenders!$C$2:$C$5000,SUBSTITUTE(SUMMARY!$Z26,"*","~*"))&gt;0,_xlfn.MAXIFS(Fenders!$F$2:$F$5000,Fenders!$C$2:$C$5000,SUBSTITUTE(SUMMARY!$Z26,"*","~*")),"")</f>
        <v>2.2000000000000002</v>
      </c>
      <c r="AB26" s="35">
        <f t="shared" si="0"/>
        <v>15</v>
      </c>
      <c r="AC26" s="36">
        <f t="shared" si="1"/>
        <v>0.14666666666666667</v>
      </c>
    </row>
    <row r="27" spans="1:29" x14ac:dyDescent="0.25">
      <c r="A27" s="31">
        <f t="shared" si="2"/>
        <v>10</v>
      </c>
      <c r="B27" s="34" t="str">
        <v>15-*A</v>
      </c>
      <c r="C27" s="34">
        <f>IF(_xlfn.MAXIFS(Line_Tensions!$J$2:$J$5000,Line_Tensions!$C$2:$C$5000,SUBSTITUTE(SUMMARY!$B27,"*","~*"))&gt;0,_xlfn.MAXIFS(Line_Tensions!$J$2:$J$5000,Line_Tensions!$C$2:$C$5000,SUBSTITUTE(SUMMARY!$B27,"*","~*")),"")</f>
        <v>27.6</v>
      </c>
      <c r="D27" s="37" cm="1">
        <f t="array" ref="D27">_xlfn.XLOOKUP(SUMMARY!$B27&amp;"|"&amp;SUMMARY!$C27,Line_Tensions!$C$2:$C$65&amp;"|"&amp;Line_Tensions!$J$2:$J$65,Line_Tensions!$K$2:$K$65,"")</f>
        <v>0.09</v>
      </c>
      <c r="E27" s="34" cm="1">
        <f t="array" ref="E27">_xlfn.XLOOKUP(SUMMARY!$B27&amp;"|"&amp;SUMMARY!$C27,Line_Tensions!$C$2:$C$65&amp;"|"&amp;Line_Tensions!$J$2:$J$65,Line_Tensions!$B$2:$B$65,"")</f>
        <v>3</v>
      </c>
      <c r="F27" s="38" cm="1">
        <f t="array" ref="F27">_xlfn.XLOOKUP(SUMMARY!$B27&amp;"|"&amp;SUMMARY!$C27,Line_Tensions!$C$2:$C$65&amp;"|"&amp;Line_Tensions!$J$2:$J$65,Line_Tensions!$H$2:$H$65,"")</f>
        <v>150</v>
      </c>
      <c r="G27" s="38" cm="1">
        <f t="array" ref="G27">_xlfn.XLOOKUP(SUMMARY!$B27&amp;"|"&amp;SUMMARY!$C27,Line_Tensions!$C$2:$C$65&amp;"|"&amp;Line_Tensions!$J$2:$J$65,Line_Tensions!$I$2:$I$65,"")</f>
        <v>330</v>
      </c>
      <c r="H27" s="38" cm="1">
        <f t="array" ref="H27">_xlfn.XLOOKUP(SUMMARY!$B27&amp;"|"&amp;SUMMARY!$C27,Line_Tensions!$C$2:$C$65&amp;"|"&amp;Line_Tensions!$J$2:$J$65,Line_Tensions!$D$2:$D$65,"")</f>
        <v>0.18</v>
      </c>
      <c r="I27" s="38" cm="1">
        <f t="array" ref="I27">_xlfn.XLOOKUP(SUMMARY!$B27&amp;"|"&amp;SUMMARY!$C27,Line_Tensions!$C$2:$C$65&amp;"|"&amp;Line_Tensions!$J$2:$J$65,Line_Tensions!$E$2:$E$65,"")</f>
        <v>29.1</v>
      </c>
      <c r="J27" s="38">
        <f>_xlfn.XLOOKUP(SUMMARY!$E27,Cases!$B$2:$B$5,Cases!$C$2:$C$5,"")</f>
        <v>4</v>
      </c>
      <c r="K27" s="38">
        <f>_xlfn.XLOOKUP(SUMMARY!$E27,Cases!$B$2:$B$5,Cases!$D$2:$D$5,"")</f>
        <v>14.5</v>
      </c>
      <c r="M27" s="30">
        <f t="shared" si="3"/>
        <v>10</v>
      </c>
      <c r="N27" s="34"/>
      <c r="O27" s="34" t="str">
        <f>IF(_xlfn.MAXIFS(Hook_Bollard_Forces!$F$2:$F$5000,Hook_Bollard_Forces!$C$2:$C$5000,SUBSTITUTE(SUMMARY!$N27,"*","~*"))&gt;0,_xlfn.MAXIFS(Hook_Bollard_Forces!$F$2:$F$5000,Hook_Bollard_Forces!$C$2:$C$5000,SUBSTITUTE(SUMMARY!$N27,"*","~*")),"")</f>
        <v/>
      </c>
      <c r="P27" s="37" t="str" cm="1">
        <f t="array" ref="P27">_xlfn.XLOOKUP(SUMMARY!$N27&amp;"|"&amp;SUMMARY!$O27,Hook_Bollard_Forces!$C$2:$C$209&amp;"|"&amp;Hook_Bollard_Forces!$F$2:$F$209,Hook_Bollard_Forces!$G$2:$G$209,"")</f>
        <v/>
      </c>
      <c r="Q27" s="34" t="str" cm="1">
        <f t="array" ref="Q27">_xlfn.XLOOKUP(SUMMARY!$N27&amp;"|"&amp;SUMMARY!$O27,Hook_Bollard_Forces!$C$2:$C$209&amp;"|"&amp;Hook_Bollard_Forces!$F$2:$F$209,Hook_Bollard_Forces!$B$2:$B$209,"")</f>
        <v/>
      </c>
      <c r="R27" s="38" t="str" cm="1">
        <f t="array" ref="R27">_xlfn.XLOOKUP(SUMMARY!$N27&amp;"|"&amp;SUMMARY!$O27,Hook_Bollard_Forces!$C$2:$C$209&amp;"|"&amp;Hook_Bollard_Forces!$F$2:$F$209,Hook_Bollard_Forces!$D$2:$D$209,"")</f>
        <v/>
      </c>
      <c r="S27" s="38" t="str" cm="1">
        <f t="array" ref="S27">_xlfn.XLOOKUP(SUMMARY!$N27&amp;"|"&amp;SUMMARY!$O27,Hook_Bollard_Forces!$C$2:$C$209&amp;"|"&amp;Hook_Bollard_Forces!$F$2:$F$209,Hook_Bollard_Forces!$E$2:$E$209,"")</f>
        <v/>
      </c>
      <c r="T27" s="38" t="str" cm="1">
        <f t="array" ref="T27">_xlfn.XLOOKUP(SUMMARY!$N27&amp;"|"&amp;SUMMARY!$O27,Hook_Bollard_Forces!$C$2:$C$209&amp;"|"&amp;Hook_Bollard_Forces!$F$2:$F$209,Hook_Bollard_Forces!$H$2:$H$209,"")</f>
        <v/>
      </c>
      <c r="U27" s="38" t="str" cm="1">
        <f t="array" ref="U27">_xlfn.XLOOKUP(SUMMARY!$N27&amp;"|"&amp;SUMMARY!$O27,Hook_Bollard_Forces!$C$2:$C$209&amp;"|"&amp;Hook_Bollard_Forces!$F$2:$F$209,Hook_Bollard_Forces!$I$2:$I$209,"")</f>
        <v/>
      </c>
      <c r="V27" s="38" t="str">
        <f>_xlfn.XLOOKUP(SUMMARY!$Q27,Cases!$B$2:$B$5,Cases!$C$2:$C$5,"")</f>
        <v/>
      </c>
      <c r="W27" s="38" t="str">
        <f>_xlfn.XLOOKUP(SUMMARY!$Q27,Cases!$B$2:$B$5,Cases!$D$2:$D$5,"")</f>
        <v/>
      </c>
      <c r="Y27" s="30">
        <f t="shared" si="4"/>
        <v>10</v>
      </c>
      <c r="Z27" s="34" t="str">
        <v>mm</v>
      </c>
      <c r="AA27" s="34">
        <f>IF(_xlfn.MAXIFS(Fenders!$F$2:$F$5000,Fenders!$C$2:$C$5000,SUBSTITUTE(SUMMARY!$Z27,"*","~*"))&gt;0,_xlfn.MAXIFS(Fenders!$F$2:$F$5000,Fenders!$C$2:$C$5000,SUBSTITUTE(SUMMARY!$Z27,"*","~*")),"")</f>
        <v>2.2999999999999998</v>
      </c>
      <c r="AB27" s="35">
        <f t="shared" si="0"/>
        <v>15</v>
      </c>
      <c r="AC27" s="36">
        <f t="shared" si="1"/>
        <v>0.15333333333333332</v>
      </c>
    </row>
    <row r="28" spans="1:29" x14ac:dyDescent="0.25">
      <c r="A28" s="31">
        <f t="shared" si="2"/>
        <v>11</v>
      </c>
      <c r="B28" s="34" t="str">
        <v>16-*F</v>
      </c>
      <c r="C28" s="34">
        <f>IF(_xlfn.MAXIFS(Line_Tensions!$J$2:$J$5000,Line_Tensions!$C$2:$C$5000,SUBSTITUTE(SUMMARY!$B28,"*","~*"))&gt;0,_xlfn.MAXIFS(Line_Tensions!$J$2:$J$5000,Line_Tensions!$C$2:$C$5000,SUBSTITUTE(SUMMARY!$B28,"*","~*")),"")</f>
        <v>61.2</v>
      </c>
      <c r="D28" s="37" cm="1">
        <f t="array" ref="D28">_xlfn.XLOOKUP(SUMMARY!$B28&amp;"|"&amp;SUMMARY!$C28,Line_Tensions!$C$2:$C$65&amp;"|"&amp;Line_Tensions!$J$2:$J$65,Line_Tensions!$K$2:$K$65,"")</f>
        <v>0.19</v>
      </c>
      <c r="E28" s="34" cm="1">
        <f t="array" ref="E28">_xlfn.XLOOKUP(SUMMARY!$B28&amp;"|"&amp;SUMMARY!$C28,Line_Tensions!$C$2:$C$65&amp;"|"&amp;Line_Tensions!$J$2:$J$65,Line_Tensions!$B$2:$B$65,"")</f>
        <v>2</v>
      </c>
      <c r="F28" s="38" cm="1">
        <f t="array" ref="F28">_xlfn.XLOOKUP(SUMMARY!$B28&amp;"|"&amp;SUMMARY!$C28,Line_Tensions!$C$2:$C$65&amp;"|"&amp;Line_Tensions!$J$2:$J$65,Line_Tensions!$H$2:$H$65,"")</f>
        <v>-50</v>
      </c>
      <c r="G28" s="38" cm="1">
        <f t="array" ref="G28">_xlfn.XLOOKUP(SUMMARY!$B28&amp;"|"&amp;SUMMARY!$C28,Line_Tensions!$C$2:$C$65&amp;"|"&amp;Line_Tensions!$J$2:$J$65,Line_Tensions!$I$2:$I$65,"")</f>
        <v>130</v>
      </c>
      <c r="H28" s="38" cm="1">
        <f t="array" ref="H28">_xlfn.XLOOKUP(SUMMARY!$B28&amp;"|"&amp;SUMMARY!$C28,Line_Tensions!$C$2:$C$65&amp;"|"&amp;Line_Tensions!$J$2:$J$65,Line_Tensions!$D$2:$D$65,"")</f>
        <v>0.38</v>
      </c>
      <c r="I28" s="38" cm="1">
        <f t="array" ref="I28">_xlfn.XLOOKUP(SUMMARY!$B28&amp;"|"&amp;SUMMARY!$C28,Line_Tensions!$C$2:$C$65&amp;"|"&amp;Line_Tensions!$J$2:$J$65,Line_Tensions!$E$2:$E$65,"")</f>
        <v>53</v>
      </c>
      <c r="J28" s="38">
        <f>_xlfn.XLOOKUP(SUMMARY!$E28,Cases!$B$2:$B$5,Cases!$C$2:$C$5,"")</f>
        <v>0.57999999999999996</v>
      </c>
      <c r="K28" s="38">
        <f>_xlfn.XLOOKUP(SUMMARY!$E28,Cases!$B$2:$B$5,Cases!$D$2:$D$5,"")</f>
        <v>16</v>
      </c>
      <c r="M28" s="30">
        <f t="shared" si="3"/>
        <v>11</v>
      </c>
      <c r="N28" s="34"/>
      <c r="O28" s="34" t="str">
        <f>IF(_xlfn.MAXIFS(Hook_Bollard_Forces!$F$2:$F$5000,Hook_Bollard_Forces!$C$2:$C$5000,SUBSTITUTE(SUMMARY!$N28,"*","~*"))&gt;0,_xlfn.MAXIFS(Hook_Bollard_Forces!$F$2:$F$5000,Hook_Bollard_Forces!$C$2:$C$5000,SUBSTITUTE(SUMMARY!$N28,"*","~*")),"")</f>
        <v/>
      </c>
      <c r="P28" s="37" t="str" cm="1">
        <f t="array" ref="P28">_xlfn.XLOOKUP(SUMMARY!$N28&amp;"|"&amp;SUMMARY!$O28,Hook_Bollard_Forces!$C$2:$C$209&amp;"|"&amp;Hook_Bollard_Forces!$F$2:$F$209,Hook_Bollard_Forces!$G$2:$G$209,"")</f>
        <v/>
      </c>
      <c r="Q28" s="34" t="str" cm="1">
        <f t="array" ref="Q28">_xlfn.XLOOKUP(SUMMARY!$N28&amp;"|"&amp;SUMMARY!$O28,Hook_Bollard_Forces!$C$2:$C$209&amp;"|"&amp;Hook_Bollard_Forces!$F$2:$F$209,Hook_Bollard_Forces!$B$2:$B$209,"")</f>
        <v/>
      </c>
      <c r="R28" s="38" t="str" cm="1">
        <f t="array" ref="R28">_xlfn.XLOOKUP(SUMMARY!$N28&amp;"|"&amp;SUMMARY!$O28,Hook_Bollard_Forces!$C$2:$C$209&amp;"|"&amp;Hook_Bollard_Forces!$F$2:$F$209,Hook_Bollard_Forces!$D$2:$D$209,"")</f>
        <v/>
      </c>
      <c r="S28" s="38" t="str" cm="1">
        <f t="array" ref="S28">_xlfn.XLOOKUP(SUMMARY!$N28&amp;"|"&amp;SUMMARY!$O28,Hook_Bollard_Forces!$C$2:$C$209&amp;"|"&amp;Hook_Bollard_Forces!$F$2:$F$209,Hook_Bollard_Forces!$E$2:$E$209,"")</f>
        <v/>
      </c>
      <c r="T28" s="38" t="str" cm="1">
        <f t="array" ref="T28">_xlfn.XLOOKUP(SUMMARY!$N28&amp;"|"&amp;SUMMARY!$O28,Hook_Bollard_Forces!$C$2:$C$209&amp;"|"&amp;Hook_Bollard_Forces!$F$2:$F$209,Hook_Bollard_Forces!$H$2:$H$209,"")</f>
        <v/>
      </c>
      <c r="U28" s="38" t="str" cm="1">
        <f t="array" ref="U28">_xlfn.XLOOKUP(SUMMARY!$N28&amp;"|"&amp;SUMMARY!$O28,Hook_Bollard_Forces!$C$2:$C$209&amp;"|"&amp;Hook_Bollard_Forces!$F$2:$F$209,Hook_Bollard_Forces!$I$2:$I$209,"")</f>
        <v/>
      </c>
      <c r="V28" s="38" t="str">
        <f>_xlfn.XLOOKUP(SUMMARY!$Q28,Cases!$B$2:$B$5,Cases!$C$2:$C$5,"")</f>
        <v/>
      </c>
      <c r="W28" s="38" t="str">
        <f>_xlfn.XLOOKUP(SUMMARY!$Q28,Cases!$B$2:$B$5,Cases!$D$2:$D$5,"")</f>
        <v/>
      </c>
      <c r="Y28" s="30">
        <f t="shared" si="4"/>
        <v>11</v>
      </c>
      <c r="Z28" s="34" t="str">
        <v>nn</v>
      </c>
      <c r="AA28" s="34">
        <f>IF(_xlfn.MAXIFS(Fenders!$F$2:$F$5000,Fenders!$C$2:$C$5000,SUBSTITUTE(SUMMARY!$Z28,"*","~*"))&gt;0,_xlfn.MAXIFS(Fenders!$F$2:$F$5000,Fenders!$C$2:$C$5000,SUBSTITUTE(SUMMARY!$Z28,"*","~*")),"")</f>
        <v>2.5</v>
      </c>
      <c r="AB28" s="35">
        <f t="shared" si="0"/>
        <v>15</v>
      </c>
      <c r="AC28" s="36">
        <f t="shared" si="1"/>
        <v>0.16666666666666666</v>
      </c>
    </row>
    <row r="29" spans="1:29" x14ac:dyDescent="0.25">
      <c r="A29" s="31">
        <f t="shared" si="2"/>
        <v>12</v>
      </c>
      <c r="B29" s="34" t="str">
        <v>17-*F</v>
      </c>
      <c r="C29" s="34">
        <f>IF(_xlfn.MAXIFS(Line_Tensions!$J$2:$J$5000,Line_Tensions!$C$2:$C$5000,SUBSTITUTE(SUMMARY!$B29,"*","~*"))&gt;0,_xlfn.MAXIFS(Line_Tensions!$J$2:$J$5000,Line_Tensions!$C$2:$C$5000,SUBSTITUTE(SUMMARY!$B29,"*","~*")),"")</f>
        <v>61</v>
      </c>
      <c r="D29" s="37" cm="1">
        <f t="array" ref="D29">_xlfn.XLOOKUP(SUMMARY!$B29&amp;"|"&amp;SUMMARY!$C29,Line_Tensions!$C$2:$C$65&amp;"|"&amp;Line_Tensions!$J$2:$J$65,Line_Tensions!$K$2:$K$65,"")</f>
        <v>0.19</v>
      </c>
      <c r="E29" s="34" cm="1">
        <f t="array" ref="E29">_xlfn.XLOOKUP(SUMMARY!$B29&amp;"|"&amp;SUMMARY!$C29,Line_Tensions!$C$2:$C$65&amp;"|"&amp;Line_Tensions!$J$2:$J$65,Line_Tensions!$B$2:$B$65,"")</f>
        <v>2</v>
      </c>
      <c r="F29" s="38" cm="1">
        <f t="array" ref="F29">_xlfn.XLOOKUP(SUMMARY!$B29&amp;"|"&amp;SUMMARY!$C29,Line_Tensions!$C$2:$C$65&amp;"|"&amp;Line_Tensions!$J$2:$J$65,Line_Tensions!$H$2:$H$65,"")</f>
        <v>-50</v>
      </c>
      <c r="G29" s="38" cm="1">
        <f t="array" ref="G29">_xlfn.XLOOKUP(SUMMARY!$B29&amp;"|"&amp;SUMMARY!$C29,Line_Tensions!$C$2:$C$65&amp;"|"&amp;Line_Tensions!$J$2:$J$65,Line_Tensions!$I$2:$I$65,"")</f>
        <v>130</v>
      </c>
      <c r="H29" s="38" cm="1">
        <f t="array" ref="H29">_xlfn.XLOOKUP(SUMMARY!$B29&amp;"|"&amp;SUMMARY!$C29,Line_Tensions!$C$2:$C$65&amp;"|"&amp;Line_Tensions!$J$2:$J$65,Line_Tensions!$D$2:$D$65,"")</f>
        <v>0.37</v>
      </c>
      <c r="I29" s="38" cm="1">
        <f t="array" ref="I29">_xlfn.XLOOKUP(SUMMARY!$B29&amp;"|"&amp;SUMMARY!$C29,Line_Tensions!$C$2:$C$65&amp;"|"&amp;Line_Tensions!$J$2:$J$65,Line_Tensions!$E$2:$E$65,"")</f>
        <v>51.6</v>
      </c>
      <c r="J29" s="38">
        <f>_xlfn.XLOOKUP(SUMMARY!$E29,Cases!$B$2:$B$5,Cases!$C$2:$C$5,"")</f>
        <v>0.57999999999999996</v>
      </c>
      <c r="K29" s="38">
        <f>_xlfn.XLOOKUP(SUMMARY!$E29,Cases!$B$2:$B$5,Cases!$D$2:$D$5,"")</f>
        <v>16</v>
      </c>
      <c r="M29" s="30">
        <f t="shared" si="3"/>
        <v>12</v>
      </c>
      <c r="N29" s="34"/>
      <c r="O29" s="34" t="str">
        <f>IF(_xlfn.MAXIFS(Hook_Bollard_Forces!$F$2:$F$5000,Hook_Bollard_Forces!$C$2:$C$5000,SUBSTITUTE(SUMMARY!$N29,"*","~*"))&gt;0,_xlfn.MAXIFS(Hook_Bollard_Forces!$F$2:$F$5000,Hook_Bollard_Forces!$C$2:$C$5000,SUBSTITUTE(SUMMARY!$N29,"*","~*")),"")</f>
        <v/>
      </c>
      <c r="P29" s="37" t="str" cm="1">
        <f t="array" ref="P29">_xlfn.XLOOKUP(SUMMARY!$N29&amp;"|"&amp;SUMMARY!$O29,Hook_Bollard_Forces!$C$2:$C$209&amp;"|"&amp;Hook_Bollard_Forces!$F$2:$F$209,Hook_Bollard_Forces!$G$2:$G$209,"")</f>
        <v/>
      </c>
      <c r="Q29" s="34" t="str" cm="1">
        <f t="array" ref="Q29">_xlfn.XLOOKUP(SUMMARY!$N29&amp;"|"&amp;SUMMARY!$O29,Hook_Bollard_Forces!$C$2:$C$209&amp;"|"&amp;Hook_Bollard_Forces!$F$2:$F$209,Hook_Bollard_Forces!$B$2:$B$209,"")</f>
        <v/>
      </c>
      <c r="R29" s="38" t="str" cm="1">
        <f t="array" ref="R29">_xlfn.XLOOKUP(SUMMARY!$N29&amp;"|"&amp;SUMMARY!$O29,Hook_Bollard_Forces!$C$2:$C$209&amp;"|"&amp;Hook_Bollard_Forces!$F$2:$F$209,Hook_Bollard_Forces!$D$2:$D$209,"")</f>
        <v/>
      </c>
      <c r="S29" s="38" t="str" cm="1">
        <f t="array" ref="S29">_xlfn.XLOOKUP(SUMMARY!$N29&amp;"|"&amp;SUMMARY!$O29,Hook_Bollard_Forces!$C$2:$C$209&amp;"|"&amp;Hook_Bollard_Forces!$F$2:$F$209,Hook_Bollard_Forces!$E$2:$E$209,"")</f>
        <v/>
      </c>
      <c r="T29" s="38" t="str" cm="1">
        <f t="array" ref="T29">_xlfn.XLOOKUP(SUMMARY!$N29&amp;"|"&amp;SUMMARY!$O29,Hook_Bollard_Forces!$C$2:$C$209&amp;"|"&amp;Hook_Bollard_Forces!$F$2:$F$209,Hook_Bollard_Forces!$H$2:$H$209,"")</f>
        <v/>
      </c>
      <c r="U29" s="38" t="str" cm="1">
        <f t="array" ref="U29">_xlfn.XLOOKUP(SUMMARY!$N29&amp;"|"&amp;SUMMARY!$O29,Hook_Bollard_Forces!$C$2:$C$209&amp;"|"&amp;Hook_Bollard_Forces!$F$2:$F$209,Hook_Bollard_Forces!$I$2:$I$209,"")</f>
        <v/>
      </c>
      <c r="V29" s="38" t="str">
        <f>_xlfn.XLOOKUP(SUMMARY!$Q29,Cases!$B$2:$B$5,Cases!$C$2:$C$5,"")</f>
        <v/>
      </c>
      <c r="W29" s="38" t="str">
        <f>_xlfn.XLOOKUP(SUMMARY!$Q29,Cases!$B$2:$B$5,Cases!$D$2:$D$5,"")</f>
        <v/>
      </c>
      <c r="Y29" s="30">
        <f t="shared" si="4"/>
        <v>12</v>
      </c>
      <c r="Z29" s="34" t="str">
        <v>oo</v>
      </c>
      <c r="AA29" s="34">
        <f>IF(_xlfn.MAXIFS(Fenders!$F$2:$F$5000,Fenders!$C$2:$C$5000,SUBSTITUTE(SUMMARY!$Z29,"*","~*"))&gt;0,_xlfn.MAXIFS(Fenders!$F$2:$F$5000,Fenders!$C$2:$C$5000,SUBSTITUTE(SUMMARY!$Z29,"*","~*")),"")</f>
        <v>2.7</v>
      </c>
      <c r="AB29" s="35">
        <f t="shared" si="0"/>
        <v>15</v>
      </c>
      <c r="AC29" s="36">
        <f t="shared" si="1"/>
        <v>0.18000000000000002</v>
      </c>
    </row>
    <row r="30" spans="1:29" x14ac:dyDescent="0.25">
      <c r="A30" s="31">
        <f t="shared" si="2"/>
        <v>13</v>
      </c>
      <c r="B30" s="34" t="str">
        <v>18-*F</v>
      </c>
      <c r="C30" s="34">
        <f>IF(_xlfn.MAXIFS(Line_Tensions!$J$2:$J$5000,Line_Tensions!$C$2:$C$5000,SUBSTITUTE(SUMMARY!$B30,"*","~*"))&gt;0,_xlfn.MAXIFS(Line_Tensions!$J$2:$J$5000,Line_Tensions!$C$2:$C$5000,SUBSTITUTE(SUMMARY!$B30,"*","~*")),"")</f>
        <v>60.3</v>
      </c>
      <c r="D30" s="37" cm="1">
        <f t="array" ref="D30">_xlfn.XLOOKUP(SUMMARY!$B30&amp;"|"&amp;SUMMARY!$C30,Line_Tensions!$C$2:$C$65&amp;"|"&amp;Line_Tensions!$J$2:$J$65,Line_Tensions!$K$2:$K$65,"")</f>
        <v>0.19</v>
      </c>
      <c r="E30" s="34" cm="1">
        <f t="array" ref="E30">_xlfn.XLOOKUP(SUMMARY!$B30&amp;"|"&amp;SUMMARY!$C30,Line_Tensions!$C$2:$C$65&amp;"|"&amp;Line_Tensions!$J$2:$J$65,Line_Tensions!$B$2:$B$65,"")</f>
        <v>2</v>
      </c>
      <c r="F30" s="38" cm="1">
        <f t="array" ref="F30">_xlfn.XLOOKUP(SUMMARY!$B30&amp;"|"&amp;SUMMARY!$C30,Line_Tensions!$C$2:$C$65&amp;"|"&amp;Line_Tensions!$J$2:$J$65,Line_Tensions!$H$2:$H$65,"")</f>
        <v>-50</v>
      </c>
      <c r="G30" s="38" cm="1">
        <f t="array" ref="G30">_xlfn.XLOOKUP(SUMMARY!$B30&amp;"|"&amp;SUMMARY!$C30,Line_Tensions!$C$2:$C$65&amp;"|"&amp;Line_Tensions!$J$2:$J$65,Line_Tensions!$I$2:$I$65,"")</f>
        <v>130</v>
      </c>
      <c r="H30" s="38" cm="1">
        <f t="array" ref="H30">_xlfn.XLOOKUP(SUMMARY!$B30&amp;"|"&amp;SUMMARY!$C30,Line_Tensions!$C$2:$C$65&amp;"|"&amp;Line_Tensions!$J$2:$J$65,Line_Tensions!$D$2:$D$65,"")</f>
        <v>0.36</v>
      </c>
      <c r="I30" s="38" cm="1">
        <f t="array" ref="I30">_xlfn.XLOOKUP(SUMMARY!$B30&amp;"|"&amp;SUMMARY!$C30,Line_Tensions!$C$2:$C$65&amp;"|"&amp;Line_Tensions!$J$2:$J$65,Line_Tensions!$E$2:$E$65,"")</f>
        <v>50.1</v>
      </c>
      <c r="J30" s="38">
        <f>_xlfn.XLOOKUP(SUMMARY!$E30,Cases!$B$2:$B$5,Cases!$C$2:$C$5,"")</f>
        <v>0.57999999999999996</v>
      </c>
      <c r="K30" s="38">
        <f>_xlfn.XLOOKUP(SUMMARY!$E30,Cases!$B$2:$B$5,Cases!$D$2:$D$5,"")</f>
        <v>16</v>
      </c>
      <c r="M30" s="30">
        <f t="shared" si="3"/>
        <v>13</v>
      </c>
      <c r="N30" s="34"/>
      <c r="O30" s="34" t="str">
        <f>IF(_xlfn.MAXIFS(Hook_Bollard_Forces!$F$2:$F$5000,Hook_Bollard_Forces!$C$2:$C$5000,SUBSTITUTE(SUMMARY!$N30,"*","~*"))&gt;0,_xlfn.MAXIFS(Hook_Bollard_Forces!$F$2:$F$5000,Hook_Bollard_Forces!$C$2:$C$5000,SUBSTITUTE(SUMMARY!$N30,"*","~*")),"")</f>
        <v/>
      </c>
      <c r="P30" s="37" t="str" cm="1">
        <f t="array" ref="P30">_xlfn.XLOOKUP(SUMMARY!$N30&amp;"|"&amp;SUMMARY!$O30,Hook_Bollard_Forces!$C$2:$C$209&amp;"|"&amp;Hook_Bollard_Forces!$F$2:$F$209,Hook_Bollard_Forces!$G$2:$G$209,"")</f>
        <v/>
      </c>
      <c r="Q30" s="34" t="str" cm="1">
        <f t="array" ref="Q30">_xlfn.XLOOKUP(SUMMARY!$N30&amp;"|"&amp;SUMMARY!$O30,Hook_Bollard_Forces!$C$2:$C$209&amp;"|"&amp;Hook_Bollard_Forces!$F$2:$F$209,Hook_Bollard_Forces!$B$2:$B$209,"")</f>
        <v/>
      </c>
      <c r="R30" s="38" t="str" cm="1">
        <f t="array" ref="R30">_xlfn.XLOOKUP(SUMMARY!$N30&amp;"|"&amp;SUMMARY!$O30,Hook_Bollard_Forces!$C$2:$C$209&amp;"|"&amp;Hook_Bollard_Forces!$F$2:$F$209,Hook_Bollard_Forces!$D$2:$D$209,"")</f>
        <v/>
      </c>
      <c r="S30" s="38" t="str" cm="1">
        <f t="array" ref="S30">_xlfn.XLOOKUP(SUMMARY!$N30&amp;"|"&amp;SUMMARY!$O30,Hook_Bollard_Forces!$C$2:$C$209&amp;"|"&amp;Hook_Bollard_Forces!$F$2:$F$209,Hook_Bollard_Forces!$E$2:$E$209,"")</f>
        <v/>
      </c>
      <c r="T30" s="38" t="str" cm="1">
        <f t="array" ref="T30">_xlfn.XLOOKUP(SUMMARY!$N30&amp;"|"&amp;SUMMARY!$O30,Hook_Bollard_Forces!$C$2:$C$209&amp;"|"&amp;Hook_Bollard_Forces!$F$2:$F$209,Hook_Bollard_Forces!$H$2:$H$209,"")</f>
        <v/>
      </c>
      <c r="U30" s="38" t="str" cm="1">
        <f t="array" ref="U30">_xlfn.XLOOKUP(SUMMARY!$N30&amp;"|"&amp;SUMMARY!$O30,Hook_Bollard_Forces!$C$2:$C$209&amp;"|"&amp;Hook_Bollard_Forces!$F$2:$F$209,Hook_Bollard_Forces!$I$2:$I$209,"")</f>
        <v/>
      </c>
      <c r="V30" s="38" t="str">
        <f>_xlfn.XLOOKUP(SUMMARY!$Q30,Cases!$B$2:$B$5,Cases!$C$2:$C$5,"")</f>
        <v/>
      </c>
      <c r="W30" s="38" t="str">
        <f>_xlfn.XLOOKUP(SUMMARY!$Q30,Cases!$B$2:$B$5,Cases!$D$2:$D$5,"")</f>
        <v/>
      </c>
      <c r="Y30" s="30">
        <f t="shared" si="4"/>
        <v>13</v>
      </c>
      <c r="Z30" s="34" t="str">
        <v>pp</v>
      </c>
      <c r="AA30" s="34">
        <f>IF(_xlfn.MAXIFS(Fenders!$F$2:$F$5000,Fenders!$C$2:$C$5000,SUBSTITUTE(SUMMARY!$Z30,"*","~*"))&gt;0,_xlfn.MAXIFS(Fenders!$F$2:$F$5000,Fenders!$C$2:$C$5000,SUBSTITUTE(SUMMARY!$Z30,"*","~*")),"")</f>
        <v>2.9</v>
      </c>
      <c r="AB30" s="35">
        <f t="shared" si="0"/>
        <v>15</v>
      </c>
      <c r="AC30" s="36">
        <f t="shared" si="1"/>
        <v>0.19333333333333333</v>
      </c>
    </row>
    <row r="31" spans="1:29" x14ac:dyDescent="0.25">
      <c r="A31" s="31">
        <f t="shared" si="2"/>
        <v>14</v>
      </c>
      <c r="B31" s="34" t="str">
        <v>19-*E</v>
      </c>
      <c r="C31" s="34">
        <f>IF(_xlfn.MAXIFS(Line_Tensions!$J$2:$J$5000,Line_Tensions!$C$2:$C$5000,SUBSTITUTE(SUMMARY!$B31,"*","~*"))&gt;0,_xlfn.MAXIFS(Line_Tensions!$J$2:$J$5000,Line_Tensions!$C$2:$C$5000,SUBSTITUTE(SUMMARY!$B31,"*","~*")),"")</f>
        <v>56.5</v>
      </c>
      <c r="D31" s="37" cm="1">
        <f t="array" ref="D31">_xlfn.XLOOKUP(SUMMARY!$B31&amp;"|"&amp;SUMMARY!$C31,Line_Tensions!$C$2:$C$65&amp;"|"&amp;Line_Tensions!$J$2:$J$65,Line_Tensions!$K$2:$K$65,"")</f>
        <v>0.17</v>
      </c>
      <c r="E31" s="34" cm="1">
        <f t="array" ref="E31">_xlfn.XLOOKUP(SUMMARY!$B31&amp;"|"&amp;SUMMARY!$C31,Line_Tensions!$C$2:$C$65&amp;"|"&amp;Line_Tensions!$J$2:$J$65,Line_Tensions!$B$2:$B$65,"")</f>
        <v>3</v>
      </c>
      <c r="F31" s="38" cm="1">
        <f t="array" ref="F31">_xlfn.XLOOKUP(SUMMARY!$B31&amp;"|"&amp;SUMMARY!$C31,Line_Tensions!$C$2:$C$65&amp;"|"&amp;Line_Tensions!$J$2:$J$65,Line_Tensions!$H$2:$H$65,"")</f>
        <v>-50</v>
      </c>
      <c r="G31" s="38" cm="1">
        <f t="array" ref="G31">_xlfn.XLOOKUP(SUMMARY!$B31&amp;"|"&amp;SUMMARY!$C31,Line_Tensions!$C$2:$C$65&amp;"|"&amp;Line_Tensions!$J$2:$J$65,Line_Tensions!$I$2:$I$65,"")</f>
        <v>130</v>
      </c>
      <c r="H31" s="38" cm="1">
        <f t="array" ref="H31">_xlfn.XLOOKUP(SUMMARY!$B31&amp;"|"&amp;SUMMARY!$C31,Line_Tensions!$C$2:$C$65&amp;"|"&amp;Line_Tensions!$J$2:$J$65,Line_Tensions!$D$2:$D$65,"")</f>
        <v>0.23</v>
      </c>
      <c r="I31" s="38" cm="1">
        <f t="array" ref="I31">_xlfn.XLOOKUP(SUMMARY!$B31&amp;"|"&amp;SUMMARY!$C31,Line_Tensions!$C$2:$C$65&amp;"|"&amp;Line_Tensions!$J$2:$J$65,Line_Tensions!$E$2:$E$65,"")</f>
        <v>31.4</v>
      </c>
      <c r="J31" s="38">
        <f>_xlfn.XLOOKUP(SUMMARY!$E31,Cases!$B$2:$B$5,Cases!$C$2:$C$5,"")</f>
        <v>4</v>
      </c>
      <c r="K31" s="38">
        <f>_xlfn.XLOOKUP(SUMMARY!$E31,Cases!$B$2:$B$5,Cases!$D$2:$D$5,"")</f>
        <v>14.5</v>
      </c>
      <c r="M31" s="30">
        <f t="shared" si="3"/>
        <v>14</v>
      </c>
      <c r="N31" s="34"/>
      <c r="O31" s="34" t="str">
        <f>IF(_xlfn.MAXIFS(Hook_Bollard_Forces!$F$2:$F$5000,Hook_Bollard_Forces!$C$2:$C$5000,SUBSTITUTE(SUMMARY!$N31,"*","~*"))&gt;0,_xlfn.MAXIFS(Hook_Bollard_Forces!$F$2:$F$5000,Hook_Bollard_Forces!$C$2:$C$5000,SUBSTITUTE(SUMMARY!$N31,"*","~*")),"")</f>
        <v/>
      </c>
      <c r="P31" s="37" t="str" cm="1">
        <f t="array" ref="P31">_xlfn.XLOOKUP(SUMMARY!$N31&amp;"|"&amp;SUMMARY!$O31,Hook_Bollard_Forces!$C$2:$C$209&amp;"|"&amp;Hook_Bollard_Forces!$F$2:$F$209,Hook_Bollard_Forces!$G$2:$G$209,"")</f>
        <v/>
      </c>
      <c r="Q31" s="34" t="str" cm="1">
        <f t="array" ref="Q31">_xlfn.XLOOKUP(SUMMARY!$N31&amp;"|"&amp;SUMMARY!$O31,Hook_Bollard_Forces!$C$2:$C$209&amp;"|"&amp;Hook_Bollard_Forces!$F$2:$F$209,Hook_Bollard_Forces!$B$2:$B$209,"")</f>
        <v/>
      </c>
      <c r="R31" s="38" t="str" cm="1">
        <f t="array" ref="R31">_xlfn.XLOOKUP(SUMMARY!$N31&amp;"|"&amp;SUMMARY!$O31,Hook_Bollard_Forces!$C$2:$C$209&amp;"|"&amp;Hook_Bollard_Forces!$F$2:$F$209,Hook_Bollard_Forces!$D$2:$D$209,"")</f>
        <v/>
      </c>
      <c r="S31" s="38" t="str" cm="1">
        <f t="array" ref="S31">_xlfn.XLOOKUP(SUMMARY!$N31&amp;"|"&amp;SUMMARY!$O31,Hook_Bollard_Forces!$C$2:$C$209&amp;"|"&amp;Hook_Bollard_Forces!$F$2:$F$209,Hook_Bollard_Forces!$E$2:$E$209,"")</f>
        <v/>
      </c>
      <c r="T31" s="38" t="str" cm="1">
        <f t="array" ref="T31">_xlfn.XLOOKUP(SUMMARY!$N31&amp;"|"&amp;SUMMARY!$O31,Hook_Bollard_Forces!$C$2:$C$209&amp;"|"&amp;Hook_Bollard_Forces!$F$2:$F$209,Hook_Bollard_Forces!$H$2:$H$209,"")</f>
        <v/>
      </c>
      <c r="U31" s="38" t="str" cm="1">
        <f t="array" ref="U31">_xlfn.XLOOKUP(SUMMARY!$N31&amp;"|"&amp;SUMMARY!$O31,Hook_Bollard_Forces!$C$2:$C$209&amp;"|"&amp;Hook_Bollard_Forces!$F$2:$F$209,Hook_Bollard_Forces!$I$2:$I$209,"")</f>
        <v/>
      </c>
      <c r="V31" s="38" t="str">
        <f>_xlfn.XLOOKUP(SUMMARY!$Q31,Cases!$B$2:$B$5,Cases!$C$2:$C$5,"")</f>
        <v/>
      </c>
      <c r="W31" s="38" t="str">
        <f>_xlfn.XLOOKUP(SUMMARY!$Q31,Cases!$B$2:$B$5,Cases!$D$2:$D$5,"")</f>
        <v/>
      </c>
      <c r="Y31" s="30">
        <f t="shared" si="4"/>
        <v>14</v>
      </c>
      <c r="Z31" s="34" t="str">
        <v>qq</v>
      </c>
      <c r="AA31" s="34">
        <f>IF(_xlfn.MAXIFS(Fenders!$F$2:$F$5000,Fenders!$C$2:$C$5000,SUBSTITUTE(SUMMARY!$Z31,"*","~*"))&gt;0,_xlfn.MAXIFS(Fenders!$F$2:$F$5000,Fenders!$C$2:$C$5000,SUBSTITUTE(SUMMARY!$Z31,"*","~*")),"")</f>
        <v>3.1</v>
      </c>
      <c r="AB31" s="35">
        <f t="shared" si="0"/>
        <v>15</v>
      </c>
      <c r="AC31" s="36">
        <f t="shared" si="1"/>
        <v>0.20666666666666667</v>
      </c>
    </row>
    <row r="32" spans="1:29" x14ac:dyDescent="0.25">
      <c r="A32" s="31">
        <f t="shared" si="2"/>
        <v>15</v>
      </c>
      <c r="B32" s="34" t="str">
        <v>20-*E</v>
      </c>
      <c r="C32" s="34">
        <f>IF(_xlfn.MAXIFS(Line_Tensions!$J$2:$J$5000,Line_Tensions!$C$2:$C$5000,SUBSTITUTE(SUMMARY!$B32,"*","~*"))&gt;0,_xlfn.MAXIFS(Line_Tensions!$J$2:$J$5000,Line_Tensions!$C$2:$C$5000,SUBSTITUTE(SUMMARY!$B32,"*","~*")),"")</f>
        <v>57.3</v>
      </c>
      <c r="D32" s="37" cm="1">
        <f t="array" ref="D32">_xlfn.XLOOKUP(SUMMARY!$B32&amp;"|"&amp;SUMMARY!$C32,Line_Tensions!$C$2:$C$65&amp;"|"&amp;Line_Tensions!$J$2:$J$65,Line_Tensions!$K$2:$K$65,"")</f>
        <v>0.18</v>
      </c>
      <c r="E32" s="34" cm="1">
        <f t="array" ref="E32">_xlfn.XLOOKUP(SUMMARY!$B32&amp;"|"&amp;SUMMARY!$C32,Line_Tensions!$C$2:$C$65&amp;"|"&amp;Line_Tensions!$J$2:$J$65,Line_Tensions!$B$2:$B$65,"")</f>
        <v>3</v>
      </c>
      <c r="F32" s="38" cm="1">
        <f t="array" ref="F32">_xlfn.XLOOKUP(SUMMARY!$B32&amp;"|"&amp;SUMMARY!$C32,Line_Tensions!$C$2:$C$65&amp;"|"&amp;Line_Tensions!$J$2:$J$65,Line_Tensions!$H$2:$H$65,"")</f>
        <v>-50</v>
      </c>
      <c r="G32" s="38" cm="1">
        <f t="array" ref="G32">_xlfn.XLOOKUP(SUMMARY!$B32&amp;"|"&amp;SUMMARY!$C32,Line_Tensions!$C$2:$C$65&amp;"|"&amp;Line_Tensions!$J$2:$J$65,Line_Tensions!$I$2:$I$65,"")</f>
        <v>130</v>
      </c>
      <c r="H32" s="38" cm="1">
        <f t="array" ref="H32">_xlfn.XLOOKUP(SUMMARY!$B32&amp;"|"&amp;SUMMARY!$C32,Line_Tensions!$C$2:$C$65&amp;"|"&amp;Line_Tensions!$J$2:$J$65,Line_Tensions!$D$2:$D$65,"")</f>
        <v>0.22</v>
      </c>
      <c r="I32" s="38" cm="1">
        <f t="array" ref="I32">_xlfn.XLOOKUP(SUMMARY!$B32&amp;"|"&amp;SUMMARY!$C32,Line_Tensions!$C$2:$C$65&amp;"|"&amp;Line_Tensions!$J$2:$J$65,Line_Tensions!$E$2:$E$65,"")</f>
        <v>30.3</v>
      </c>
      <c r="J32" s="38">
        <f>_xlfn.XLOOKUP(SUMMARY!$E32,Cases!$B$2:$B$5,Cases!$C$2:$C$5,"")</f>
        <v>4</v>
      </c>
      <c r="K32" s="38">
        <f>_xlfn.XLOOKUP(SUMMARY!$E32,Cases!$B$2:$B$5,Cases!$D$2:$D$5,"")</f>
        <v>14.5</v>
      </c>
      <c r="M32" s="30">
        <f t="shared" si="3"/>
        <v>15</v>
      </c>
      <c r="N32" s="34"/>
      <c r="O32" s="34" t="str">
        <f>IF(_xlfn.MAXIFS(Hook_Bollard_Forces!$F$2:$F$5000,Hook_Bollard_Forces!$C$2:$C$5000,SUBSTITUTE(SUMMARY!$N32,"*","~*"))&gt;0,_xlfn.MAXIFS(Hook_Bollard_Forces!$F$2:$F$5000,Hook_Bollard_Forces!$C$2:$C$5000,SUBSTITUTE(SUMMARY!$N32,"*","~*")),"")</f>
        <v/>
      </c>
      <c r="P32" s="37" t="str" cm="1">
        <f t="array" ref="P32">_xlfn.XLOOKUP(SUMMARY!$N32&amp;"|"&amp;SUMMARY!$O32,Hook_Bollard_Forces!$C$2:$C$209&amp;"|"&amp;Hook_Bollard_Forces!$F$2:$F$209,Hook_Bollard_Forces!$G$2:$G$209,"")</f>
        <v/>
      </c>
      <c r="Q32" s="34" t="str" cm="1">
        <f t="array" ref="Q32">_xlfn.XLOOKUP(SUMMARY!$N32&amp;"|"&amp;SUMMARY!$O32,Hook_Bollard_Forces!$C$2:$C$209&amp;"|"&amp;Hook_Bollard_Forces!$F$2:$F$209,Hook_Bollard_Forces!$B$2:$B$209,"")</f>
        <v/>
      </c>
      <c r="R32" s="38" t="str" cm="1">
        <f t="array" ref="R32">_xlfn.XLOOKUP(SUMMARY!$N32&amp;"|"&amp;SUMMARY!$O32,Hook_Bollard_Forces!$C$2:$C$209&amp;"|"&amp;Hook_Bollard_Forces!$F$2:$F$209,Hook_Bollard_Forces!$D$2:$D$209,"")</f>
        <v/>
      </c>
      <c r="S32" s="38" t="str" cm="1">
        <f t="array" ref="S32">_xlfn.XLOOKUP(SUMMARY!$N32&amp;"|"&amp;SUMMARY!$O32,Hook_Bollard_Forces!$C$2:$C$209&amp;"|"&amp;Hook_Bollard_Forces!$F$2:$F$209,Hook_Bollard_Forces!$E$2:$E$209,"")</f>
        <v/>
      </c>
      <c r="T32" s="38" t="str" cm="1">
        <f t="array" ref="T32">_xlfn.XLOOKUP(SUMMARY!$N32&amp;"|"&amp;SUMMARY!$O32,Hook_Bollard_Forces!$C$2:$C$209&amp;"|"&amp;Hook_Bollard_Forces!$F$2:$F$209,Hook_Bollard_Forces!$H$2:$H$209,"")</f>
        <v/>
      </c>
      <c r="U32" s="38" t="str" cm="1">
        <f t="array" ref="U32">_xlfn.XLOOKUP(SUMMARY!$N32&amp;"|"&amp;SUMMARY!$O32,Hook_Bollard_Forces!$C$2:$C$209&amp;"|"&amp;Hook_Bollard_Forces!$F$2:$F$209,Hook_Bollard_Forces!$I$2:$I$209,"")</f>
        <v/>
      </c>
      <c r="V32" s="38" t="str">
        <f>_xlfn.XLOOKUP(SUMMARY!$Q32,Cases!$B$2:$B$5,Cases!$C$2:$C$5,"")</f>
        <v/>
      </c>
      <c r="W32" s="38" t="str">
        <f>_xlfn.XLOOKUP(SUMMARY!$Q32,Cases!$B$2:$B$5,Cases!$D$2:$D$5,"")</f>
        <v/>
      </c>
    </row>
    <row r="33" spans="1:23" x14ac:dyDescent="0.25">
      <c r="A33" s="31">
        <f t="shared" si="2"/>
        <v>16</v>
      </c>
      <c r="B33" s="34" t="str">
        <v>21-*E</v>
      </c>
      <c r="C33" s="34">
        <f>IF(_xlfn.MAXIFS(Line_Tensions!$J$2:$J$5000,Line_Tensions!$C$2:$C$5000,SUBSTITUTE(SUMMARY!$B33,"*","~*"))&gt;0,_xlfn.MAXIFS(Line_Tensions!$J$2:$J$5000,Line_Tensions!$C$2:$C$5000,SUBSTITUTE(SUMMARY!$B33,"*","~*")),"")</f>
        <v>58</v>
      </c>
      <c r="D33" s="37" cm="1">
        <f t="array" ref="D33">_xlfn.XLOOKUP(SUMMARY!$B33&amp;"|"&amp;SUMMARY!$C33,Line_Tensions!$C$2:$C$65&amp;"|"&amp;Line_Tensions!$J$2:$J$65,Line_Tensions!$K$2:$K$65,"")</f>
        <v>0.18</v>
      </c>
      <c r="E33" s="34" cm="1">
        <f t="array" ref="E33">_xlfn.XLOOKUP(SUMMARY!$B33&amp;"|"&amp;SUMMARY!$C33,Line_Tensions!$C$2:$C$65&amp;"|"&amp;Line_Tensions!$J$2:$J$65,Line_Tensions!$B$2:$B$65,"")</f>
        <v>3</v>
      </c>
      <c r="F33" s="38" cm="1">
        <f t="array" ref="F33">_xlfn.XLOOKUP(SUMMARY!$B33&amp;"|"&amp;SUMMARY!$C33,Line_Tensions!$C$2:$C$65&amp;"|"&amp;Line_Tensions!$J$2:$J$65,Line_Tensions!$H$2:$H$65,"")</f>
        <v>-50</v>
      </c>
      <c r="G33" s="38" cm="1">
        <f t="array" ref="G33">_xlfn.XLOOKUP(SUMMARY!$B33&amp;"|"&amp;SUMMARY!$C33,Line_Tensions!$C$2:$C$65&amp;"|"&amp;Line_Tensions!$J$2:$J$65,Line_Tensions!$I$2:$I$65,"")</f>
        <v>130</v>
      </c>
      <c r="H33" s="38" cm="1">
        <f t="array" ref="H33">_xlfn.XLOOKUP(SUMMARY!$B33&amp;"|"&amp;SUMMARY!$C33,Line_Tensions!$C$2:$C$65&amp;"|"&amp;Line_Tensions!$J$2:$J$65,Line_Tensions!$D$2:$D$65,"")</f>
        <v>0.21</v>
      </c>
      <c r="I33" s="38" cm="1">
        <f t="array" ref="I33">_xlfn.XLOOKUP(SUMMARY!$B33&amp;"|"&amp;SUMMARY!$C33,Line_Tensions!$C$2:$C$65&amp;"|"&amp;Line_Tensions!$J$2:$J$65,Line_Tensions!$E$2:$E$65,"")</f>
        <v>29.1</v>
      </c>
      <c r="J33" s="38">
        <f>_xlfn.XLOOKUP(SUMMARY!$E33,Cases!$B$2:$B$5,Cases!$C$2:$C$5,"")</f>
        <v>4</v>
      </c>
      <c r="K33" s="38">
        <f>_xlfn.XLOOKUP(SUMMARY!$E33,Cases!$B$2:$B$5,Cases!$D$2:$D$5,"")</f>
        <v>14.5</v>
      </c>
      <c r="M33" s="30">
        <f t="shared" si="3"/>
        <v>16</v>
      </c>
      <c r="N33" s="34"/>
      <c r="O33" s="34" t="str">
        <f>IF(_xlfn.MAXIFS(Hook_Bollard_Forces!$F$2:$F$5000,Hook_Bollard_Forces!$C$2:$C$5000,SUBSTITUTE(SUMMARY!$N33,"*","~*"))&gt;0,_xlfn.MAXIFS(Hook_Bollard_Forces!$F$2:$F$5000,Hook_Bollard_Forces!$C$2:$C$5000,SUBSTITUTE(SUMMARY!$N33,"*","~*")),"")</f>
        <v/>
      </c>
      <c r="P33" s="37" t="str" cm="1">
        <f t="array" ref="P33">_xlfn.XLOOKUP(SUMMARY!$N33&amp;"|"&amp;SUMMARY!$O33,Hook_Bollard_Forces!$C$2:$C$209&amp;"|"&amp;Hook_Bollard_Forces!$F$2:$F$209,Hook_Bollard_Forces!$G$2:$G$209,"")</f>
        <v/>
      </c>
      <c r="Q33" s="34" t="str" cm="1">
        <f t="array" ref="Q33">_xlfn.XLOOKUP(SUMMARY!$N33&amp;"|"&amp;SUMMARY!$O33,Hook_Bollard_Forces!$C$2:$C$209&amp;"|"&amp;Hook_Bollard_Forces!$F$2:$F$209,Hook_Bollard_Forces!$B$2:$B$209,"")</f>
        <v/>
      </c>
      <c r="R33" s="38" t="str" cm="1">
        <f t="array" ref="R33">_xlfn.XLOOKUP(SUMMARY!$N33&amp;"|"&amp;SUMMARY!$O33,Hook_Bollard_Forces!$C$2:$C$209&amp;"|"&amp;Hook_Bollard_Forces!$F$2:$F$209,Hook_Bollard_Forces!$D$2:$D$209,"")</f>
        <v/>
      </c>
      <c r="S33" s="38" t="str" cm="1">
        <f t="array" ref="S33">_xlfn.XLOOKUP(SUMMARY!$N33&amp;"|"&amp;SUMMARY!$O33,Hook_Bollard_Forces!$C$2:$C$209&amp;"|"&amp;Hook_Bollard_Forces!$F$2:$F$209,Hook_Bollard_Forces!$E$2:$E$209,"")</f>
        <v/>
      </c>
      <c r="T33" s="38" t="str" cm="1">
        <f t="array" ref="T33">_xlfn.XLOOKUP(SUMMARY!$N33&amp;"|"&amp;SUMMARY!$O33,Hook_Bollard_Forces!$C$2:$C$209&amp;"|"&amp;Hook_Bollard_Forces!$F$2:$F$209,Hook_Bollard_Forces!$H$2:$H$209,"")</f>
        <v/>
      </c>
      <c r="U33" s="38" t="str" cm="1">
        <f t="array" ref="U33">_xlfn.XLOOKUP(SUMMARY!$N33&amp;"|"&amp;SUMMARY!$O33,Hook_Bollard_Forces!$C$2:$C$209&amp;"|"&amp;Hook_Bollard_Forces!$F$2:$F$209,Hook_Bollard_Forces!$I$2:$I$209,"")</f>
        <v/>
      </c>
      <c r="V33" s="38" t="str">
        <f>_xlfn.XLOOKUP(SUMMARY!$Q33,Cases!$B$2:$B$5,Cases!$C$2:$C$5,"")</f>
        <v/>
      </c>
      <c r="W33" s="38" t="str">
        <f>_xlfn.XLOOKUP(SUMMARY!$Q33,Cases!$B$2:$B$5,Cases!$D$2:$D$5,"")</f>
        <v/>
      </c>
    </row>
    <row r="34" spans="1:23" x14ac:dyDescent="0.25">
      <c r="A34" s="31">
        <f t="shared" si="2"/>
        <v>17</v>
      </c>
      <c r="B34" s="34"/>
      <c r="C34" s="34" t="str">
        <f>IF(_xlfn.MAXIFS(Line_Tensions!$J$2:$J$5000,Line_Tensions!$C$2:$C$5000,SUBSTITUTE(SUMMARY!$B34,"*","~*"))&gt;0,_xlfn.MAXIFS(Line_Tensions!$J$2:$J$5000,Line_Tensions!$C$2:$C$5000,SUBSTITUTE(SUMMARY!$B34,"*","~*")),"")</f>
        <v/>
      </c>
      <c r="D34" s="37"/>
      <c r="E34" s="34"/>
      <c r="F34" s="38"/>
      <c r="G34" s="38"/>
      <c r="H34" s="38"/>
      <c r="I34" s="38"/>
      <c r="J34" s="38"/>
      <c r="K34" s="38"/>
      <c r="M34" s="30">
        <f t="shared" si="3"/>
        <v>17</v>
      </c>
      <c r="N34" s="34"/>
      <c r="O34" s="34" t="str">
        <f>IF(_xlfn.MAXIFS(Hook_Bollard_Forces!$F$2:$F$5000,Hook_Bollard_Forces!$C$2:$C$5000,SUBSTITUTE(SUMMARY!$N34,"*","~*"))&gt;0,_xlfn.MAXIFS(Hook_Bollard_Forces!$F$2:$F$5000,Hook_Bollard_Forces!$C$2:$C$5000,SUBSTITUTE(SUMMARY!$N34,"*","~*")),"")</f>
        <v/>
      </c>
      <c r="P34" s="37" t="str" cm="1">
        <f t="array" ref="P34">_xlfn.XLOOKUP(SUMMARY!$N34&amp;"|"&amp;SUMMARY!$O34,Hook_Bollard_Forces!$C$2:$C$209&amp;"|"&amp;Hook_Bollard_Forces!$F$2:$F$209,Hook_Bollard_Forces!$G$2:$G$209,"")</f>
        <v/>
      </c>
      <c r="Q34" s="34" t="str" cm="1">
        <f t="array" ref="Q34">_xlfn.XLOOKUP(SUMMARY!$N34&amp;"|"&amp;SUMMARY!$O34,Hook_Bollard_Forces!$C$2:$C$209&amp;"|"&amp;Hook_Bollard_Forces!$F$2:$F$209,Hook_Bollard_Forces!$B$2:$B$209,"")</f>
        <v/>
      </c>
      <c r="R34" s="38" t="str" cm="1">
        <f t="array" ref="R34">_xlfn.XLOOKUP(SUMMARY!$N34&amp;"|"&amp;SUMMARY!$O34,Hook_Bollard_Forces!$C$2:$C$209&amp;"|"&amp;Hook_Bollard_Forces!$F$2:$F$209,Hook_Bollard_Forces!$D$2:$D$209,"")</f>
        <v/>
      </c>
      <c r="S34" s="38" t="str" cm="1">
        <f t="array" ref="S34">_xlfn.XLOOKUP(SUMMARY!$N34&amp;"|"&amp;SUMMARY!$O34,Hook_Bollard_Forces!$C$2:$C$209&amp;"|"&amp;Hook_Bollard_Forces!$F$2:$F$209,Hook_Bollard_Forces!$E$2:$E$209,"")</f>
        <v/>
      </c>
      <c r="T34" s="38" t="str" cm="1">
        <f t="array" ref="T34">_xlfn.XLOOKUP(SUMMARY!$N34&amp;"|"&amp;SUMMARY!$O34,Hook_Bollard_Forces!$C$2:$C$209&amp;"|"&amp;Hook_Bollard_Forces!$F$2:$F$209,Hook_Bollard_Forces!$H$2:$H$209,"")</f>
        <v/>
      </c>
      <c r="U34" s="38" t="str" cm="1">
        <f t="array" ref="U34">_xlfn.XLOOKUP(SUMMARY!$N34&amp;"|"&amp;SUMMARY!$O34,Hook_Bollard_Forces!$C$2:$C$209&amp;"|"&amp;Hook_Bollard_Forces!$F$2:$F$209,Hook_Bollard_Forces!$I$2:$I$209,"")</f>
        <v/>
      </c>
      <c r="V34" s="38" t="str">
        <f>_xlfn.XLOOKUP(SUMMARY!$Q34,Cases!$B$2:$B$5,Cases!$C$2:$C$5,"")</f>
        <v/>
      </c>
      <c r="W34" s="38" t="str">
        <f>_xlfn.XLOOKUP(SUMMARY!$Q34,Cases!$B$2:$B$5,Cases!$D$2:$D$5,"")</f>
        <v/>
      </c>
    </row>
    <row r="35" spans="1:23" x14ac:dyDescent="0.25">
      <c r="A35" s="31">
        <f t="shared" si="2"/>
        <v>18</v>
      </c>
      <c r="B35" s="34"/>
      <c r="C35" s="34" t="str">
        <f>IF(_xlfn.MAXIFS(Line_Tensions!$J$2:$J$5000,Line_Tensions!$C$2:$C$5000,SUBSTITUTE(SUMMARY!$B35,"*","~*"))&gt;0,_xlfn.MAXIFS(Line_Tensions!$J$2:$J$5000,Line_Tensions!$C$2:$C$5000,SUBSTITUTE(SUMMARY!$B35,"*","~*")),"")</f>
        <v/>
      </c>
      <c r="D35" s="37"/>
      <c r="E35" s="34"/>
      <c r="F35" s="38"/>
      <c r="G35" s="38"/>
      <c r="H35" s="38"/>
      <c r="I35" s="38"/>
      <c r="J35" s="38"/>
      <c r="K35" s="38"/>
      <c r="M35" s="30">
        <f t="shared" si="3"/>
        <v>18</v>
      </c>
      <c r="N35" s="34"/>
      <c r="O35" s="34" t="str">
        <f>IF(_xlfn.MAXIFS(Hook_Bollard_Forces!$F$2:$F$5000,Hook_Bollard_Forces!$C$2:$C$5000,SUBSTITUTE(SUMMARY!$N35,"*","~*"))&gt;0,_xlfn.MAXIFS(Hook_Bollard_Forces!$F$2:$F$5000,Hook_Bollard_Forces!$C$2:$C$5000,SUBSTITUTE(SUMMARY!$N35,"*","~*")),"")</f>
        <v/>
      </c>
      <c r="P35" s="37" t="str" cm="1">
        <f t="array" ref="P35">_xlfn.XLOOKUP(SUMMARY!$N35&amp;"|"&amp;SUMMARY!$O35,Hook_Bollard_Forces!$C$2:$C$209&amp;"|"&amp;Hook_Bollard_Forces!$F$2:$F$209,Hook_Bollard_Forces!$G$2:$G$209,"")</f>
        <v/>
      </c>
      <c r="Q35" s="34" t="str" cm="1">
        <f t="array" ref="Q35">_xlfn.XLOOKUP(SUMMARY!$N35&amp;"|"&amp;SUMMARY!$O35,Hook_Bollard_Forces!$C$2:$C$209&amp;"|"&amp;Hook_Bollard_Forces!$F$2:$F$209,Hook_Bollard_Forces!$B$2:$B$209,"")</f>
        <v/>
      </c>
      <c r="R35" s="38" t="str" cm="1">
        <f t="array" ref="R35">_xlfn.XLOOKUP(SUMMARY!$N35&amp;"|"&amp;SUMMARY!$O35,Hook_Bollard_Forces!$C$2:$C$209&amp;"|"&amp;Hook_Bollard_Forces!$F$2:$F$209,Hook_Bollard_Forces!$D$2:$D$209,"")</f>
        <v/>
      </c>
      <c r="S35" s="38" t="str" cm="1">
        <f t="array" ref="S35">_xlfn.XLOOKUP(SUMMARY!$N35&amp;"|"&amp;SUMMARY!$O35,Hook_Bollard_Forces!$C$2:$C$209&amp;"|"&amp;Hook_Bollard_Forces!$F$2:$F$209,Hook_Bollard_Forces!$E$2:$E$209,"")</f>
        <v/>
      </c>
      <c r="T35" s="38" t="str" cm="1">
        <f t="array" ref="T35">_xlfn.XLOOKUP(SUMMARY!$N35&amp;"|"&amp;SUMMARY!$O35,Hook_Bollard_Forces!$C$2:$C$209&amp;"|"&amp;Hook_Bollard_Forces!$F$2:$F$209,Hook_Bollard_Forces!$H$2:$H$209,"")</f>
        <v/>
      </c>
      <c r="U35" s="38" t="str" cm="1">
        <f t="array" ref="U35">_xlfn.XLOOKUP(SUMMARY!$N35&amp;"|"&amp;SUMMARY!$O35,Hook_Bollard_Forces!$C$2:$C$209&amp;"|"&amp;Hook_Bollard_Forces!$F$2:$F$209,Hook_Bollard_Forces!$I$2:$I$209,"")</f>
        <v/>
      </c>
      <c r="V35" s="38" t="str">
        <f>_xlfn.XLOOKUP(SUMMARY!$Q35,Cases!$B$2:$B$5,Cases!$C$2:$C$5,"")</f>
        <v/>
      </c>
      <c r="W35" s="38" t="str">
        <f>_xlfn.XLOOKUP(SUMMARY!$Q35,Cases!$B$2:$B$5,Cases!$D$2:$D$5,"")</f>
        <v/>
      </c>
    </row>
    <row r="36" spans="1:23" x14ac:dyDescent="0.25">
      <c r="A36" s="31">
        <f t="shared" si="2"/>
        <v>19</v>
      </c>
      <c r="B36" s="34"/>
      <c r="C36" s="34" t="str">
        <f>IF(_xlfn.MAXIFS(Line_Tensions!$J$2:$J$5000,Line_Tensions!$C$2:$C$5000,SUBSTITUTE(SUMMARY!$B36,"*","~*"))&gt;0,_xlfn.MAXIFS(Line_Tensions!$J$2:$J$5000,Line_Tensions!$C$2:$C$5000,SUBSTITUTE(SUMMARY!$B36,"*","~*")),"")</f>
        <v/>
      </c>
      <c r="D36" s="37"/>
      <c r="E36" s="34"/>
      <c r="F36" s="38"/>
      <c r="G36" s="38"/>
      <c r="H36" s="38"/>
      <c r="I36" s="38"/>
      <c r="J36" s="38"/>
      <c r="K36" s="38"/>
      <c r="M36" s="30">
        <f t="shared" si="3"/>
        <v>19</v>
      </c>
      <c r="N36" s="34"/>
      <c r="O36" s="34" t="str">
        <f>IF(_xlfn.MAXIFS(Hook_Bollard_Forces!$F$2:$F$5000,Hook_Bollard_Forces!$C$2:$C$5000,SUBSTITUTE(SUMMARY!$N36,"*","~*"))&gt;0,_xlfn.MAXIFS(Hook_Bollard_Forces!$F$2:$F$5000,Hook_Bollard_Forces!$C$2:$C$5000,SUBSTITUTE(SUMMARY!$N36,"*","~*")),"")</f>
        <v/>
      </c>
      <c r="P36" s="37" t="str" cm="1">
        <f t="array" ref="P36">_xlfn.XLOOKUP(SUMMARY!$N36&amp;"|"&amp;SUMMARY!$O36,Hook_Bollard_Forces!$C$2:$C$209&amp;"|"&amp;Hook_Bollard_Forces!$F$2:$F$209,Hook_Bollard_Forces!$G$2:$G$209,"")</f>
        <v/>
      </c>
      <c r="Q36" s="34" t="str" cm="1">
        <f t="array" ref="Q36">_xlfn.XLOOKUP(SUMMARY!$N36&amp;"|"&amp;SUMMARY!$O36,Hook_Bollard_Forces!$C$2:$C$209&amp;"|"&amp;Hook_Bollard_Forces!$F$2:$F$209,Hook_Bollard_Forces!$B$2:$B$209,"")</f>
        <v/>
      </c>
      <c r="R36" s="38" t="str" cm="1">
        <f t="array" ref="R36">_xlfn.XLOOKUP(SUMMARY!$N36&amp;"|"&amp;SUMMARY!$O36,Hook_Bollard_Forces!$C$2:$C$209&amp;"|"&amp;Hook_Bollard_Forces!$F$2:$F$209,Hook_Bollard_Forces!$D$2:$D$209,"")</f>
        <v/>
      </c>
      <c r="S36" s="38" t="str" cm="1">
        <f t="array" ref="S36">_xlfn.XLOOKUP(SUMMARY!$N36&amp;"|"&amp;SUMMARY!$O36,Hook_Bollard_Forces!$C$2:$C$209&amp;"|"&amp;Hook_Bollard_Forces!$F$2:$F$209,Hook_Bollard_Forces!$E$2:$E$209,"")</f>
        <v/>
      </c>
      <c r="T36" s="38" t="str" cm="1">
        <f t="array" ref="T36">_xlfn.XLOOKUP(SUMMARY!$N36&amp;"|"&amp;SUMMARY!$O36,Hook_Bollard_Forces!$C$2:$C$209&amp;"|"&amp;Hook_Bollard_Forces!$F$2:$F$209,Hook_Bollard_Forces!$H$2:$H$209,"")</f>
        <v/>
      </c>
      <c r="U36" s="38" t="str" cm="1">
        <f t="array" ref="U36">_xlfn.XLOOKUP(SUMMARY!$N36&amp;"|"&amp;SUMMARY!$O36,Hook_Bollard_Forces!$C$2:$C$209&amp;"|"&amp;Hook_Bollard_Forces!$F$2:$F$209,Hook_Bollard_Forces!$I$2:$I$209,"")</f>
        <v/>
      </c>
      <c r="V36" s="38" t="str">
        <f>_xlfn.XLOOKUP(SUMMARY!$Q36,Cases!$B$2:$B$5,Cases!$C$2:$C$5,"")</f>
        <v/>
      </c>
      <c r="W36" s="38" t="str">
        <f>_xlfn.XLOOKUP(SUMMARY!$Q36,Cases!$B$2:$B$5,Cases!$D$2:$D$5,"")</f>
        <v/>
      </c>
    </row>
    <row r="37" spans="1:23" x14ac:dyDescent="0.25">
      <c r="A37" s="31">
        <f t="shared" si="2"/>
        <v>20</v>
      </c>
      <c r="B37" s="34"/>
      <c r="C37" s="34" t="str">
        <f>IF(_xlfn.MAXIFS(Line_Tensions!$J$2:$J$5000,Line_Tensions!$C$2:$C$5000,SUBSTITUTE(SUMMARY!$B37,"*","~*"))&gt;0,_xlfn.MAXIFS(Line_Tensions!$J$2:$J$5000,Line_Tensions!$C$2:$C$5000,SUBSTITUTE(SUMMARY!$B37,"*","~*")),"")</f>
        <v/>
      </c>
      <c r="D37" s="37"/>
      <c r="E37" s="34"/>
      <c r="F37" s="38"/>
      <c r="G37" s="38"/>
      <c r="H37" s="38"/>
      <c r="I37" s="38"/>
      <c r="J37" s="38"/>
      <c r="K37" s="38"/>
      <c r="M37" s="30">
        <f t="shared" si="3"/>
        <v>20</v>
      </c>
      <c r="N37" s="34"/>
      <c r="O37" s="34" t="str">
        <f>IF(_xlfn.MAXIFS(Hook_Bollard_Forces!$F$2:$F$5000,Hook_Bollard_Forces!$C$2:$C$5000,SUBSTITUTE(SUMMARY!$N37,"*","~*"))&gt;0,_xlfn.MAXIFS(Hook_Bollard_Forces!$F$2:$F$5000,Hook_Bollard_Forces!$C$2:$C$5000,SUBSTITUTE(SUMMARY!$N37,"*","~*")),"")</f>
        <v/>
      </c>
      <c r="P37" s="37" t="str" cm="1">
        <f t="array" ref="P37">_xlfn.XLOOKUP(SUMMARY!$N37&amp;"|"&amp;SUMMARY!$O37,Hook_Bollard_Forces!$C$2:$C$209&amp;"|"&amp;Hook_Bollard_Forces!$F$2:$F$209,Hook_Bollard_Forces!$G$2:$G$209,"")</f>
        <v/>
      </c>
      <c r="Q37" s="34" t="str" cm="1">
        <f t="array" ref="Q37">_xlfn.XLOOKUP(SUMMARY!$N37&amp;"|"&amp;SUMMARY!$O37,Hook_Bollard_Forces!$C$2:$C$209&amp;"|"&amp;Hook_Bollard_Forces!$F$2:$F$209,Hook_Bollard_Forces!$B$2:$B$209,"")</f>
        <v/>
      </c>
      <c r="R37" s="38" t="str" cm="1">
        <f t="array" ref="R37">_xlfn.XLOOKUP(SUMMARY!$N37&amp;"|"&amp;SUMMARY!$O37,Hook_Bollard_Forces!$C$2:$C$209&amp;"|"&amp;Hook_Bollard_Forces!$F$2:$F$209,Hook_Bollard_Forces!$D$2:$D$209,"")</f>
        <v/>
      </c>
      <c r="S37" s="38" t="str" cm="1">
        <f t="array" ref="S37">_xlfn.XLOOKUP(SUMMARY!$N37&amp;"|"&amp;SUMMARY!$O37,Hook_Bollard_Forces!$C$2:$C$209&amp;"|"&amp;Hook_Bollard_Forces!$F$2:$F$209,Hook_Bollard_Forces!$E$2:$E$209,"")</f>
        <v/>
      </c>
      <c r="T37" s="38" t="str" cm="1">
        <f t="array" ref="T37">_xlfn.XLOOKUP(SUMMARY!$N37&amp;"|"&amp;SUMMARY!$O37,Hook_Bollard_Forces!$C$2:$C$209&amp;"|"&amp;Hook_Bollard_Forces!$F$2:$F$209,Hook_Bollard_Forces!$H$2:$H$209,"")</f>
        <v/>
      </c>
      <c r="U37" s="38" t="str" cm="1">
        <f t="array" ref="U37">_xlfn.XLOOKUP(SUMMARY!$N37&amp;"|"&amp;SUMMARY!$O37,Hook_Bollard_Forces!$C$2:$C$209&amp;"|"&amp;Hook_Bollard_Forces!$F$2:$F$209,Hook_Bollard_Forces!$I$2:$I$209,"")</f>
        <v/>
      </c>
      <c r="V37" s="38" t="str">
        <f>_xlfn.XLOOKUP(SUMMARY!$Q37,Cases!$B$2:$B$5,Cases!$C$2:$C$5,"")</f>
        <v/>
      </c>
      <c r="W37" s="38" t="str">
        <f>_xlfn.XLOOKUP(SUMMARY!$Q37,Cases!$B$2:$B$5,Cases!$D$2:$D$5,"")</f>
        <v/>
      </c>
    </row>
    <row r="38" spans="1:23" x14ac:dyDescent="0.25">
      <c r="A38" s="31">
        <f t="shared" si="2"/>
        <v>21</v>
      </c>
      <c r="B38" s="34"/>
      <c r="C38" s="34" t="str">
        <f>IF(_xlfn.MAXIFS(Line_Tensions!$J$2:$J$5000,Line_Tensions!$C$2:$C$5000,SUBSTITUTE(SUMMARY!$B38,"*","~*"))&gt;0,_xlfn.MAXIFS(Line_Tensions!$J$2:$J$5000,Line_Tensions!$C$2:$C$5000,SUBSTITUTE(SUMMARY!$B38,"*","~*")),"")</f>
        <v/>
      </c>
      <c r="D38" s="37"/>
      <c r="E38" s="34"/>
      <c r="F38" s="38"/>
      <c r="G38" s="38"/>
      <c r="H38" s="38"/>
      <c r="I38" s="38"/>
      <c r="J38" s="38"/>
      <c r="K38" s="38"/>
      <c r="M38" s="30">
        <f t="shared" si="3"/>
        <v>21</v>
      </c>
      <c r="N38" s="34"/>
      <c r="O38" s="34" t="str">
        <f>IF(_xlfn.MAXIFS(Hook_Bollard_Forces!$F$2:$F$5000,Hook_Bollard_Forces!$C$2:$C$5000,SUBSTITUTE(SUMMARY!$N38,"*","~*"))&gt;0,_xlfn.MAXIFS(Hook_Bollard_Forces!$F$2:$F$5000,Hook_Bollard_Forces!$C$2:$C$5000,SUBSTITUTE(SUMMARY!$N38,"*","~*")),"")</f>
        <v/>
      </c>
      <c r="P38" s="37" t="str" cm="1">
        <f t="array" ref="P38">_xlfn.XLOOKUP(SUMMARY!$N38&amp;"|"&amp;SUMMARY!$O38,Hook_Bollard_Forces!$C$2:$C$209&amp;"|"&amp;Hook_Bollard_Forces!$F$2:$F$209,Hook_Bollard_Forces!$G$2:$G$209,"")</f>
        <v/>
      </c>
      <c r="Q38" s="34" t="str" cm="1">
        <f t="array" ref="Q38">_xlfn.XLOOKUP(SUMMARY!$N38&amp;"|"&amp;SUMMARY!$O38,Hook_Bollard_Forces!$C$2:$C$209&amp;"|"&amp;Hook_Bollard_Forces!$F$2:$F$209,Hook_Bollard_Forces!$B$2:$B$209,"")</f>
        <v/>
      </c>
      <c r="R38" s="38" t="str" cm="1">
        <f t="array" ref="R38">_xlfn.XLOOKUP(SUMMARY!$N38&amp;"|"&amp;SUMMARY!$O38,Hook_Bollard_Forces!$C$2:$C$209&amp;"|"&amp;Hook_Bollard_Forces!$F$2:$F$209,Hook_Bollard_Forces!$D$2:$D$209,"")</f>
        <v/>
      </c>
      <c r="S38" s="38" t="str" cm="1">
        <f t="array" ref="S38">_xlfn.XLOOKUP(SUMMARY!$N38&amp;"|"&amp;SUMMARY!$O38,Hook_Bollard_Forces!$C$2:$C$209&amp;"|"&amp;Hook_Bollard_Forces!$F$2:$F$209,Hook_Bollard_Forces!$E$2:$E$209,"")</f>
        <v/>
      </c>
      <c r="T38" s="38" t="str" cm="1">
        <f t="array" ref="T38">_xlfn.XLOOKUP(SUMMARY!$N38&amp;"|"&amp;SUMMARY!$O38,Hook_Bollard_Forces!$C$2:$C$209&amp;"|"&amp;Hook_Bollard_Forces!$F$2:$F$209,Hook_Bollard_Forces!$H$2:$H$209,"")</f>
        <v/>
      </c>
      <c r="U38" s="38" t="str" cm="1">
        <f t="array" ref="U38">_xlfn.XLOOKUP(SUMMARY!$N38&amp;"|"&amp;SUMMARY!$O38,Hook_Bollard_Forces!$C$2:$C$209&amp;"|"&amp;Hook_Bollard_Forces!$F$2:$F$209,Hook_Bollard_Forces!$I$2:$I$209,"")</f>
        <v/>
      </c>
      <c r="V38" s="38" t="str">
        <f>_xlfn.XLOOKUP(SUMMARY!$Q38,Cases!$B$2:$B$5,Cases!$C$2:$C$5,"")</f>
        <v/>
      </c>
      <c r="W38" s="38" t="str">
        <f>_xlfn.XLOOKUP(SUMMARY!$Q38,Cases!$B$2:$B$5,Cases!$D$2:$D$5,"")</f>
        <v/>
      </c>
    </row>
    <row r="39" spans="1:23" x14ac:dyDescent="0.25">
      <c r="A39" s="31">
        <f t="shared" si="2"/>
        <v>22</v>
      </c>
      <c r="B39" s="34"/>
      <c r="C39" s="34" t="str">
        <f>IF(_xlfn.MAXIFS(Line_Tensions!$J$2:$J$5000,Line_Tensions!$C$2:$C$5000,SUBSTITUTE(SUMMARY!$B39,"*","~*"))&gt;0,_xlfn.MAXIFS(Line_Tensions!$J$2:$J$5000,Line_Tensions!$C$2:$C$5000,SUBSTITUTE(SUMMARY!$B39,"*","~*")),"")</f>
        <v/>
      </c>
      <c r="D39" s="37"/>
      <c r="E39" s="34"/>
      <c r="F39" s="38"/>
      <c r="G39" s="38"/>
      <c r="H39" s="38"/>
      <c r="I39" s="38"/>
      <c r="J39" s="38"/>
      <c r="K39" s="38"/>
      <c r="M39" s="30">
        <f t="shared" si="3"/>
        <v>22</v>
      </c>
      <c r="N39" s="34"/>
      <c r="O39" s="34" t="str">
        <f>IF(_xlfn.MAXIFS(Hook_Bollard_Forces!$F$2:$F$5000,Hook_Bollard_Forces!$C$2:$C$5000,SUBSTITUTE(SUMMARY!$N39,"*","~*"))&gt;0,_xlfn.MAXIFS(Hook_Bollard_Forces!$F$2:$F$5000,Hook_Bollard_Forces!$C$2:$C$5000,SUBSTITUTE(SUMMARY!$N39,"*","~*")),"")</f>
        <v/>
      </c>
      <c r="P39" s="37" t="str" cm="1">
        <f t="array" ref="P39">_xlfn.XLOOKUP(SUMMARY!$N39&amp;"|"&amp;SUMMARY!$O39,Hook_Bollard_Forces!$C$2:$C$209&amp;"|"&amp;Hook_Bollard_Forces!$F$2:$F$209,Hook_Bollard_Forces!$G$2:$G$209,"")</f>
        <v/>
      </c>
      <c r="Q39" s="34" t="str" cm="1">
        <f t="array" ref="Q39">_xlfn.XLOOKUP(SUMMARY!$N39&amp;"|"&amp;SUMMARY!$O39,Hook_Bollard_Forces!$C$2:$C$209&amp;"|"&amp;Hook_Bollard_Forces!$F$2:$F$209,Hook_Bollard_Forces!$B$2:$B$209,"")</f>
        <v/>
      </c>
      <c r="R39" s="38" t="str" cm="1">
        <f t="array" ref="R39">_xlfn.XLOOKUP(SUMMARY!$N39&amp;"|"&amp;SUMMARY!$O39,Hook_Bollard_Forces!$C$2:$C$209&amp;"|"&amp;Hook_Bollard_Forces!$F$2:$F$209,Hook_Bollard_Forces!$D$2:$D$209,"")</f>
        <v/>
      </c>
      <c r="S39" s="38" t="str" cm="1">
        <f t="array" ref="S39">_xlfn.XLOOKUP(SUMMARY!$N39&amp;"|"&amp;SUMMARY!$O39,Hook_Bollard_Forces!$C$2:$C$209&amp;"|"&amp;Hook_Bollard_Forces!$F$2:$F$209,Hook_Bollard_Forces!$E$2:$E$209,"")</f>
        <v/>
      </c>
      <c r="T39" s="38" t="str" cm="1">
        <f t="array" ref="T39">_xlfn.XLOOKUP(SUMMARY!$N39&amp;"|"&amp;SUMMARY!$O39,Hook_Bollard_Forces!$C$2:$C$209&amp;"|"&amp;Hook_Bollard_Forces!$F$2:$F$209,Hook_Bollard_Forces!$H$2:$H$209,"")</f>
        <v/>
      </c>
      <c r="U39" s="38" t="str" cm="1">
        <f t="array" ref="U39">_xlfn.XLOOKUP(SUMMARY!$N39&amp;"|"&amp;SUMMARY!$O39,Hook_Bollard_Forces!$C$2:$C$209&amp;"|"&amp;Hook_Bollard_Forces!$F$2:$F$209,Hook_Bollard_Forces!$I$2:$I$209,"")</f>
        <v/>
      </c>
      <c r="V39" s="38" t="str">
        <f>_xlfn.XLOOKUP(SUMMARY!$Q39,Cases!$B$2:$B$5,Cases!$C$2:$C$5,"")</f>
        <v/>
      </c>
      <c r="W39" s="38" t="str">
        <f>_xlfn.XLOOKUP(SUMMARY!$Q39,Cases!$B$2:$B$5,Cases!$D$2:$D$5,"")</f>
        <v/>
      </c>
    </row>
    <row r="40" spans="1:23" x14ac:dyDescent="0.25">
      <c r="A40" s="31">
        <f t="shared" si="2"/>
        <v>23</v>
      </c>
      <c r="B40" s="34"/>
      <c r="C40" s="34" t="str">
        <f>IF(_xlfn.MAXIFS(Line_Tensions!$J$2:$J$5000,Line_Tensions!$C$2:$C$5000,SUBSTITUTE(SUMMARY!$B40,"*","~*"))&gt;0,_xlfn.MAXIFS(Line_Tensions!$J$2:$J$5000,Line_Tensions!$C$2:$C$5000,SUBSTITUTE(SUMMARY!$B40,"*","~*")),"")</f>
        <v/>
      </c>
      <c r="D40" s="37"/>
      <c r="E40" s="34"/>
      <c r="F40" s="38"/>
      <c r="G40" s="38"/>
      <c r="H40" s="38"/>
      <c r="I40" s="38"/>
      <c r="J40" s="38"/>
      <c r="K40" s="38"/>
      <c r="M40" s="30">
        <f t="shared" si="3"/>
        <v>23</v>
      </c>
      <c r="N40" s="34"/>
      <c r="O40" s="34" t="str">
        <f>IF(_xlfn.MAXIFS(Hook_Bollard_Forces!$F$2:$F$5000,Hook_Bollard_Forces!$C$2:$C$5000,SUBSTITUTE(SUMMARY!$N40,"*","~*"))&gt;0,_xlfn.MAXIFS(Hook_Bollard_Forces!$F$2:$F$5000,Hook_Bollard_Forces!$C$2:$C$5000,SUBSTITUTE(SUMMARY!$N40,"*","~*")),"")</f>
        <v/>
      </c>
      <c r="P40" s="37" t="str" cm="1">
        <f t="array" ref="P40">_xlfn.XLOOKUP(SUMMARY!$N40&amp;"|"&amp;SUMMARY!$O40,Hook_Bollard_Forces!$C$2:$C$209&amp;"|"&amp;Hook_Bollard_Forces!$F$2:$F$209,Hook_Bollard_Forces!$G$2:$G$209,"")</f>
        <v/>
      </c>
      <c r="Q40" s="34" t="str" cm="1">
        <f t="array" ref="Q40">_xlfn.XLOOKUP(SUMMARY!$N40&amp;"|"&amp;SUMMARY!$O40,Hook_Bollard_Forces!$C$2:$C$209&amp;"|"&amp;Hook_Bollard_Forces!$F$2:$F$209,Hook_Bollard_Forces!$B$2:$B$209,"")</f>
        <v/>
      </c>
      <c r="R40" s="38" t="str" cm="1">
        <f t="array" ref="R40">_xlfn.XLOOKUP(SUMMARY!$N40&amp;"|"&amp;SUMMARY!$O40,Hook_Bollard_Forces!$C$2:$C$209&amp;"|"&amp;Hook_Bollard_Forces!$F$2:$F$209,Hook_Bollard_Forces!$D$2:$D$209,"")</f>
        <v/>
      </c>
      <c r="S40" s="38" t="str" cm="1">
        <f t="array" ref="S40">_xlfn.XLOOKUP(SUMMARY!$N40&amp;"|"&amp;SUMMARY!$O40,Hook_Bollard_Forces!$C$2:$C$209&amp;"|"&amp;Hook_Bollard_Forces!$F$2:$F$209,Hook_Bollard_Forces!$E$2:$E$209,"")</f>
        <v/>
      </c>
      <c r="T40" s="38" t="str" cm="1">
        <f t="array" ref="T40">_xlfn.XLOOKUP(SUMMARY!$N40&amp;"|"&amp;SUMMARY!$O40,Hook_Bollard_Forces!$C$2:$C$209&amp;"|"&amp;Hook_Bollard_Forces!$F$2:$F$209,Hook_Bollard_Forces!$H$2:$H$209,"")</f>
        <v/>
      </c>
      <c r="U40" s="38" t="str" cm="1">
        <f t="array" ref="U40">_xlfn.XLOOKUP(SUMMARY!$N40&amp;"|"&amp;SUMMARY!$O40,Hook_Bollard_Forces!$C$2:$C$209&amp;"|"&amp;Hook_Bollard_Forces!$F$2:$F$209,Hook_Bollard_Forces!$I$2:$I$209,"")</f>
        <v/>
      </c>
      <c r="V40" s="38" t="str">
        <f>_xlfn.XLOOKUP(SUMMARY!$Q40,Cases!$B$2:$B$5,Cases!$C$2:$C$5,"")</f>
        <v/>
      </c>
      <c r="W40" s="38" t="str">
        <f>_xlfn.XLOOKUP(SUMMARY!$Q40,Cases!$B$2:$B$5,Cases!$D$2:$D$5,"")</f>
        <v/>
      </c>
    </row>
    <row r="41" spans="1:23" x14ac:dyDescent="0.25">
      <c r="A41" s="31">
        <f t="shared" si="2"/>
        <v>24</v>
      </c>
      <c r="B41" s="34"/>
      <c r="C41" s="34" t="str">
        <f>IF(_xlfn.MAXIFS(Line_Tensions!$J$2:$J$5000,Line_Tensions!$C$2:$C$5000,SUBSTITUTE(SUMMARY!$B41,"*","~*"))&gt;0,_xlfn.MAXIFS(Line_Tensions!$J$2:$J$5000,Line_Tensions!$C$2:$C$5000,SUBSTITUTE(SUMMARY!$B41,"*","~*")),"")</f>
        <v/>
      </c>
      <c r="D41" s="37"/>
      <c r="E41" s="34"/>
      <c r="F41" s="38"/>
      <c r="G41" s="38"/>
      <c r="H41" s="38"/>
      <c r="I41" s="38"/>
      <c r="J41" s="38"/>
      <c r="K41" s="38"/>
      <c r="M41" s="30">
        <f t="shared" si="3"/>
        <v>24</v>
      </c>
      <c r="N41" s="34"/>
      <c r="O41" s="34" t="str">
        <f>IF(_xlfn.MAXIFS(Hook_Bollard_Forces!$F$2:$F$5000,Hook_Bollard_Forces!$C$2:$C$5000,SUBSTITUTE(SUMMARY!$N41,"*","~*"))&gt;0,_xlfn.MAXIFS(Hook_Bollard_Forces!$F$2:$F$5000,Hook_Bollard_Forces!$C$2:$C$5000,SUBSTITUTE(SUMMARY!$N41,"*","~*")),"")</f>
        <v/>
      </c>
      <c r="P41" s="37" t="str" cm="1">
        <f t="array" ref="P41">_xlfn.XLOOKUP(SUMMARY!$N41&amp;"|"&amp;SUMMARY!$O41,Hook_Bollard_Forces!$C$2:$C$209&amp;"|"&amp;Hook_Bollard_Forces!$F$2:$F$209,Hook_Bollard_Forces!$G$2:$G$209,"")</f>
        <v/>
      </c>
      <c r="Q41" s="34" t="str" cm="1">
        <f t="array" ref="Q41">_xlfn.XLOOKUP(SUMMARY!$N41&amp;"|"&amp;SUMMARY!$O41,Hook_Bollard_Forces!$C$2:$C$209&amp;"|"&amp;Hook_Bollard_Forces!$F$2:$F$209,Hook_Bollard_Forces!$B$2:$B$209,"")</f>
        <v/>
      </c>
      <c r="R41" s="38" t="str" cm="1">
        <f t="array" ref="R41">_xlfn.XLOOKUP(SUMMARY!$N41&amp;"|"&amp;SUMMARY!$O41,Hook_Bollard_Forces!$C$2:$C$209&amp;"|"&amp;Hook_Bollard_Forces!$F$2:$F$209,Hook_Bollard_Forces!$D$2:$D$209,"")</f>
        <v/>
      </c>
      <c r="S41" s="38" t="str" cm="1">
        <f t="array" ref="S41">_xlfn.XLOOKUP(SUMMARY!$N41&amp;"|"&amp;SUMMARY!$O41,Hook_Bollard_Forces!$C$2:$C$209&amp;"|"&amp;Hook_Bollard_Forces!$F$2:$F$209,Hook_Bollard_Forces!$E$2:$E$209,"")</f>
        <v/>
      </c>
      <c r="T41" s="38" t="str" cm="1">
        <f t="array" ref="T41">_xlfn.XLOOKUP(SUMMARY!$N41&amp;"|"&amp;SUMMARY!$O41,Hook_Bollard_Forces!$C$2:$C$209&amp;"|"&amp;Hook_Bollard_Forces!$F$2:$F$209,Hook_Bollard_Forces!$H$2:$H$209,"")</f>
        <v/>
      </c>
      <c r="U41" s="38" t="str" cm="1">
        <f t="array" ref="U41">_xlfn.XLOOKUP(SUMMARY!$N41&amp;"|"&amp;SUMMARY!$O41,Hook_Bollard_Forces!$C$2:$C$209&amp;"|"&amp;Hook_Bollard_Forces!$F$2:$F$209,Hook_Bollard_Forces!$I$2:$I$209,"")</f>
        <v/>
      </c>
      <c r="V41" s="38" t="str">
        <f>_xlfn.XLOOKUP(SUMMARY!$Q41,Cases!$B$2:$B$5,Cases!$C$2:$C$5,"")</f>
        <v/>
      </c>
      <c r="W41" s="38" t="str">
        <f>_xlfn.XLOOKUP(SUMMARY!$Q41,Cases!$B$2:$B$5,Cases!$D$2:$D$5,"")</f>
        <v/>
      </c>
    </row>
    <row r="42" spans="1:23" x14ac:dyDescent="0.25">
      <c r="A42" s="31">
        <f t="shared" si="2"/>
        <v>25</v>
      </c>
      <c r="B42" s="34"/>
      <c r="C42" s="34" t="str">
        <f>IF(_xlfn.MAXIFS(Line_Tensions!$J$2:$J$5000,Line_Tensions!$C$2:$C$5000,SUBSTITUTE(SUMMARY!$B42,"*","~*"))&gt;0,_xlfn.MAXIFS(Line_Tensions!$J$2:$J$5000,Line_Tensions!$C$2:$C$5000,SUBSTITUTE(SUMMARY!$B42,"*","~*")),"")</f>
        <v/>
      </c>
      <c r="D42" s="37"/>
      <c r="E42" s="34"/>
      <c r="F42" s="38"/>
      <c r="G42" s="38"/>
      <c r="H42" s="38"/>
      <c r="I42" s="38"/>
      <c r="J42" s="38"/>
      <c r="K42" s="38"/>
      <c r="M42" s="30">
        <f t="shared" si="3"/>
        <v>25</v>
      </c>
      <c r="N42" s="34"/>
      <c r="O42" s="34" t="str">
        <f>IF(_xlfn.MAXIFS(Hook_Bollard_Forces!$F$2:$F$5000,Hook_Bollard_Forces!$C$2:$C$5000,SUBSTITUTE(SUMMARY!$N42,"*","~*"))&gt;0,_xlfn.MAXIFS(Hook_Bollard_Forces!$F$2:$F$5000,Hook_Bollard_Forces!$C$2:$C$5000,SUBSTITUTE(SUMMARY!$N42,"*","~*")),"")</f>
        <v/>
      </c>
      <c r="P42" s="37" t="str" cm="1">
        <f t="array" ref="P42">_xlfn.XLOOKUP(SUMMARY!$N42&amp;"|"&amp;SUMMARY!$O42,Hook_Bollard_Forces!$C$2:$C$209&amp;"|"&amp;Hook_Bollard_Forces!$F$2:$F$209,Hook_Bollard_Forces!$G$2:$G$209,"")</f>
        <v/>
      </c>
      <c r="Q42" s="34" t="str" cm="1">
        <f t="array" ref="Q42">_xlfn.XLOOKUP(SUMMARY!$N42&amp;"|"&amp;SUMMARY!$O42,Hook_Bollard_Forces!$C$2:$C$209&amp;"|"&amp;Hook_Bollard_Forces!$F$2:$F$209,Hook_Bollard_Forces!$B$2:$B$209,"")</f>
        <v/>
      </c>
      <c r="R42" s="38" t="str" cm="1">
        <f t="array" ref="R42">_xlfn.XLOOKUP(SUMMARY!$N42&amp;"|"&amp;SUMMARY!$O42,Hook_Bollard_Forces!$C$2:$C$209&amp;"|"&amp;Hook_Bollard_Forces!$F$2:$F$209,Hook_Bollard_Forces!$D$2:$D$209,"")</f>
        <v/>
      </c>
      <c r="S42" s="38" t="str" cm="1">
        <f t="array" ref="S42">_xlfn.XLOOKUP(SUMMARY!$N42&amp;"|"&amp;SUMMARY!$O42,Hook_Bollard_Forces!$C$2:$C$209&amp;"|"&amp;Hook_Bollard_Forces!$F$2:$F$209,Hook_Bollard_Forces!$E$2:$E$209,"")</f>
        <v/>
      </c>
      <c r="T42" s="38" t="str" cm="1">
        <f t="array" ref="T42">_xlfn.XLOOKUP(SUMMARY!$N42&amp;"|"&amp;SUMMARY!$O42,Hook_Bollard_Forces!$C$2:$C$209&amp;"|"&amp;Hook_Bollard_Forces!$F$2:$F$209,Hook_Bollard_Forces!$H$2:$H$209,"")</f>
        <v/>
      </c>
      <c r="U42" s="38" t="str" cm="1">
        <f t="array" ref="U42">_xlfn.XLOOKUP(SUMMARY!$N42&amp;"|"&amp;SUMMARY!$O42,Hook_Bollard_Forces!$C$2:$C$209&amp;"|"&amp;Hook_Bollard_Forces!$F$2:$F$209,Hook_Bollard_Forces!$I$2:$I$209,"")</f>
        <v/>
      </c>
      <c r="V42" s="38" t="str">
        <f>_xlfn.XLOOKUP(SUMMARY!$Q42,Cases!$B$2:$B$5,Cases!$C$2:$C$5,"")</f>
        <v/>
      </c>
      <c r="W42" s="38" t="str">
        <f>_xlfn.XLOOKUP(SUMMARY!$Q42,Cases!$B$2:$B$5,Cases!$D$2:$D$5,"")</f>
        <v/>
      </c>
    </row>
    <row r="43" spans="1:23" x14ac:dyDescent="0.25">
      <c r="A43" s="31">
        <f>+A42+1</f>
        <v>26</v>
      </c>
      <c r="B43" s="34"/>
      <c r="C43" s="34" t="str">
        <f>IF(_xlfn.MAXIFS(Line_Tensions!$J$2:$J$5000,Line_Tensions!$C$2:$C$5000,SUBSTITUTE(SUMMARY!$B43,"*","~*"))&gt;0,_xlfn.MAXIFS(Line_Tensions!$J$2:$J$5000,Line_Tensions!$C$2:$C$5000,SUBSTITUTE(SUMMARY!$B43,"*","~*")),"")</f>
        <v/>
      </c>
      <c r="D43" s="37"/>
      <c r="E43" s="34"/>
      <c r="F43" s="38"/>
      <c r="G43" s="38"/>
      <c r="H43" s="38"/>
      <c r="I43" s="38"/>
      <c r="J43" s="38"/>
      <c r="K43" s="38"/>
      <c r="M43" s="30">
        <f t="shared" si="3"/>
        <v>26</v>
      </c>
      <c r="N43" s="34"/>
      <c r="O43" s="34" t="str">
        <f>IF(_xlfn.MAXIFS(Hook_Bollard_Forces!$F$2:$F$5000,Hook_Bollard_Forces!$C$2:$C$5000,SUBSTITUTE(SUMMARY!$N43,"*","~*"))&gt;0,_xlfn.MAXIFS(Hook_Bollard_Forces!$F$2:$F$5000,Hook_Bollard_Forces!$C$2:$C$5000,SUBSTITUTE(SUMMARY!$N43,"*","~*")),"")</f>
        <v/>
      </c>
      <c r="P43" s="37" t="str" cm="1">
        <f t="array" ref="P43">_xlfn.XLOOKUP(SUMMARY!$N43&amp;"|"&amp;SUMMARY!$O43,Hook_Bollard_Forces!$C$2:$C$209&amp;"|"&amp;Hook_Bollard_Forces!$F$2:$F$209,Hook_Bollard_Forces!$G$2:$G$209,"")</f>
        <v/>
      </c>
      <c r="Q43" s="34" t="str" cm="1">
        <f t="array" ref="Q43">_xlfn.XLOOKUP(SUMMARY!$N43&amp;"|"&amp;SUMMARY!$O43,Hook_Bollard_Forces!$C$2:$C$209&amp;"|"&amp;Hook_Bollard_Forces!$F$2:$F$209,Hook_Bollard_Forces!$B$2:$B$209,"")</f>
        <v/>
      </c>
      <c r="R43" s="38" t="str" cm="1">
        <f t="array" ref="R43">_xlfn.XLOOKUP(SUMMARY!$N43&amp;"|"&amp;SUMMARY!$O43,Hook_Bollard_Forces!$C$2:$C$209&amp;"|"&amp;Hook_Bollard_Forces!$F$2:$F$209,Hook_Bollard_Forces!$D$2:$D$209,"")</f>
        <v/>
      </c>
      <c r="S43" s="38" t="str" cm="1">
        <f t="array" ref="S43">_xlfn.XLOOKUP(SUMMARY!$N43&amp;"|"&amp;SUMMARY!$O43,Hook_Bollard_Forces!$C$2:$C$209&amp;"|"&amp;Hook_Bollard_Forces!$F$2:$F$209,Hook_Bollard_Forces!$E$2:$E$209,"")</f>
        <v/>
      </c>
      <c r="T43" s="38" t="str" cm="1">
        <f t="array" ref="T43">_xlfn.XLOOKUP(SUMMARY!$N43&amp;"|"&amp;SUMMARY!$O43,Hook_Bollard_Forces!$C$2:$C$209&amp;"|"&amp;Hook_Bollard_Forces!$F$2:$F$209,Hook_Bollard_Forces!$H$2:$H$209,"")</f>
        <v/>
      </c>
      <c r="U43" s="38" t="str" cm="1">
        <f t="array" ref="U43">_xlfn.XLOOKUP(SUMMARY!$N43&amp;"|"&amp;SUMMARY!$O43,Hook_Bollard_Forces!$C$2:$C$209&amp;"|"&amp;Hook_Bollard_Forces!$F$2:$F$209,Hook_Bollard_Forces!$I$2:$I$209,"")</f>
        <v/>
      </c>
      <c r="V43" s="38" t="str">
        <f>_xlfn.XLOOKUP(SUMMARY!$Q43,Cases!$B$2:$B$5,Cases!$C$2:$C$5,"")</f>
        <v/>
      </c>
      <c r="W43" s="38" t="str">
        <f>_xlfn.XLOOKUP(SUMMARY!$Q43,Cases!$B$2:$B$5,Cases!$D$2:$D$5,"")</f>
        <v/>
      </c>
    </row>
    <row r="44" spans="1:23" x14ac:dyDescent="0.25">
      <c r="A44" s="31">
        <f t="shared" si="2"/>
        <v>27</v>
      </c>
      <c r="B44" s="34"/>
      <c r="C44" s="34" t="str">
        <f>IF(_xlfn.MAXIFS(Line_Tensions!$J$2:$J$5000,Line_Tensions!$C$2:$C$5000,SUBSTITUTE(SUMMARY!$B44,"*","~*"))&gt;0,_xlfn.MAXIFS(Line_Tensions!$J$2:$J$5000,Line_Tensions!$C$2:$C$5000,SUBSTITUTE(SUMMARY!$B44,"*","~*")),"")</f>
        <v/>
      </c>
      <c r="D44" s="37"/>
      <c r="E44" s="34"/>
      <c r="F44" s="38"/>
      <c r="G44" s="38"/>
      <c r="H44" s="38"/>
      <c r="I44" s="38"/>
      <c r="J44" s="38"/>
      <c r="K44" s="38"/>
      <c r="M44" s="30">
        <f t="shared" si="3"/>
        <v>27</v>
      </c>
      <c r="N44" s="34"/>
      <c r="O44" s="34" t="str">
        <f>IF(_xlfn.MAXIFS(Hook_Bollard_Forces!$F$2:$F$5000,Hook_Bollard_Forces!$C$2:$C$5000,SUBSTITUTE(SUMMARY!$N44,"*","~*"))&gt;0,_xlfn.MAXIFS(Hook_Bollard_Forces!$F$2:$F$5000,Hook_Bollard_Forces!$C$2:$C$5000,SUBSTITUTE(SUMMARY!$N44,"*","~*")),"")</f>
        <v/>
      </c>
      <c r="P44" s="37" t="str" cm="1">
        <f t="array" ref="P44">_xlfn.XLOOKUP(SUMMARY!$N44&amp;"|"&amp;SUMMARY!$O44,Hook_Bollard_Forces!$C$2:$C$209&amp;"|"&amp;Hook_Bollard_Forces!$F$2:$F$209,Hook_Bollard_Forces!$G$2:$G$209,"")</f>
        <v/>
      </c>
      <c r="Q44" s="34" t="str" cm="1">
        <f t="array" ref="Q44">_xlfn.XLOOKUP(SUMMARY!$N44&amp;"|"&amp;SUMMARY!$O44,Hook_Bollard_Forces!$C$2:$C$209&amp;"|"&amp;Hook_Bollard_Forces!$F$2:$F$209,Hook_Bollard_Forces!$B$2:$B$209,"")</f>
        <v/>
      </c>
      <c r="R44" s="38" t="str" cm="1">
        <f t="array" ref="R44">_xlfn.XLOOKUP(SUMMARY!$N44&amp;"|"&amp;SUMMARY!$O44,Hook_Bollard_Forces!$C$2:$C$209&amp;"|"&amp;Hook_Bollard_Forces!$F$2:$F$209,Hook_Bollard_Forces!$D$2:$D$209,"")</f>
        <v/>
      </c>
      <c r="S44" s="38" t="str" cm="1">
        <f t="array" ref="S44">_xlfn.XLOOKUP(SUMMARY!$N44&amp;"|"&amp;SUMMARY!$O44,Hook_Bollard_Forces!$C$2:$C$209&amp;"|"&amp;Hook_Bollard_Forces!$F$2:$F$209,Hook_Bollard_Forces!$E$2:$E$209,"")</f>
        <v/>
      </c>
      <c r="T44" s="38" t="str" cm="1">
        <f t="array" ref="T44">_xlfn.XLOOKUP(SUMMARY!$N44&amp;"|"&amp;SUMMARY!$O44,Hook_Bollard_Forces!$C$2:$C$209&amp;"|"&amp;Hook_Bollard_Forces!$F$2:$F$209,Hook_Bollard_Forces!$H$2:$H$209,"")</f>
        <v/>
      </c>
      <c r="U44" s="38" t="str" cm="1">
        <f t="array" ref="U44">_xlfn.XLOOKUP(SUMMARY!$N44&amp;"|"&amp;SUMMARY!$O44,Hook_Bollard_Forces!$C$2:$C$209&amp;"|"&amp;Hook_Bollard_Forces!$F$2:$F$209,Hook_Bollard_Forces!$I$2:$I$209,"")</f>
        <v/>
      </c>
      <c r="V44" s="38" t="str">
        <f>_xlfn.XLOOKUP(SUMMARY!$Q44,Cases!$B$2:$B$5,Cases!$C$2:$C$5,"")</f>
        <v/>
      </c>
      <c r="W44" s="38" t="str">
        <f>_xlfn.XLOOKUP(SUMMARY!$Q44,Cases!$B$2:$B$5,Cases!$D$2:$D$5,"")</f>
        <v/>
      </c>
    </row>
    <row r="45" spans="1:23" x14ac:dyDescent="0.25">
      <c r="A45" s="31">
        <f>+A44+1</f>
        <v>28</v>
      </c>
      <c r="B45" s="34"/>
      <c r="C45" s="34" t="str">
        <f>IF(_xlfn.MAXIFS(Line_Tensions!$J$2:$J$5000,Line_Tensions!$C$2:$C$5000,SUBSTITUTE(SUMMARY!$B45,"*","~*"))&gt;0,_xlfn.MAXIFS(Line_Tensions!$J$2:$J$5000,Line_Tensions!$C$2:$C$5000,SUBSTITUTE(SUMMARY!$B45,"*","~*")),"")</f>
        <v/>
      </c>
      <c r="D45" s="37"/>
      <c r="E45" s="34"/>
      <c r="F45" s="38"/>
      <c r="G45" s="38"/>
      <c r="H45" s="38"/>
      <c r="I45" s="38"/>
      <c r="J45" s="38"/>
      <c r="K45" s="38"/>
      <c r="M45" s="30">
        <f t="shared" si="3"/>
        <v>28</v>
      </c>
      <c r="N45" s="34"/>
      <c r="O45" s="34" t="str">
        <f>IF(_xlfn.MAXIFS(Hook_Bollard_Forces!$F$2:$F$5000,Hook_Bollard_Forces!$C$2:$C$5000,SUBSTITUTE(SUMMARY!$N45,"*","~*"))&gt;0,_xlfn.MAXIFS(Hook_Bollard_Forces!$F$2:$F$5000,Hook_Bollard_Forces!$C$2:$C$5000,SUBSTITUTE(SUMMARY!$N45,"*","~*")),"")</f>
        <v/>
      </c>
      <c r="P45" s="37" t="str" cm="1">
        <f t="array" ref="P45">_xlfn.XLOOKUP(SUMMARY!$N45&amp;"|"&amp;SUMMARY!$O45,Hook_Bollard_Forces!$C$2:$C$209&amp;"|"&amp;Hook_Bollard_Forces!$F$2:$F$209,Hook_Bollard_Forces!$G$2:$G$209,"")</f>
        <v/>
      </c>
      <c r="Q45" s="34" t="str" cm="1">
        <f t="array" ref="Q45">_xlfn.XLOOKUP(SUMMARY!$N45&amp;"|"&amp;SUMMARY!$O45,Hook_Bollard_Forces!$C$2:$C$209&amp;"|"&amp;Hook_Bollard_Forces!$F$2:$F$209,Hook_Bollard_Forces!$B$2:$B$209,"")</f>
        <v/>
      </c>
      <c r="R45" s="38" t="str" cm="1">
        <f t="array" ref="R45">_xlfn.XLOOKUP(SUMMARY!$N45&amp;"|"&amp;SUMMARY!$O45,Hook_Bollard_Forces!$C$2:$C$209&amp;"|"&amp;Hook_Bollard_Forces!$F$2:$F$209,Hook_Bollard_Forces!$D$2:$D$209,"")</f>
        <v/>
      </c>
      <c r="S45" s="38" t="str" cm="1">
        <f t="array" ref="S45">_xlfn.XLOOKUP(SUMMARY!$N45&amp;"|"&amp;SUMMARY!$O45,Hook_Bollard_Forces!$C$2:$C$209&amp;"|"&amp;Hook_Bollard_Forces!$F$2:$F$209,Hook_Bollard_Forces!$E$2:$E$209,"")</f>
        <v/>
      </c>
      <c r="T45" s="38" t="str" cm="1">
        <f t="array" ref="T45">_xlfn.XLOOKUP(SUMMARY!$N45&amp;"|"&amp;SUMMARY!$O45,Hook_Bollard_Forces!$C$2:$C$209&amp;"|"&amp;Hook_Bollard_Forces!$F$2:$F$209,Hook_Bollard_Forces!$H$2:$H$209,"")</f>
        <v/>
      </c>
      <c r="U45" s="38" t="str" cm="1">
        <f t="array" ref="U45">_xlfn.XLOOKUP(SUMMARY!$N45&amp;"|"&amp;SUMMARY!$O45,Hook_Bollard_Forces!$C$2:$C$209&amp;"|"&amp;Hook_Bollard_Forces!$F$2:$F$209,Hook_Bollard_Forces!$I$2:$I$209,"")</f>
        <v/>
      </c>
      <c r="V45" s="38" t="str">
        <f>_xlfn.XLOOKUP(SUMMARY!$Q45,Cases!$B$2:$B$5,Cases!$C$2:$C$5,"")</f>
        <v/>
      </c>
      <c r="W45" s="38" t="str">
        <f>_xlfn.XLOOKUP(SUMMARY!$Q45,Cases!$B$2:$B$5,Cases!$D$2:$D$5,"")</f>
        <v/>
      </c>
    </row>
    <row r="46" spans="1:23" x14ac:dyDescent="0.25">
      <c r="A46" s="31">
        <f t="shared" ref="A46:A47" si="5">+A45+1</f>
        <v>29</v>
      </c>
      <c r="B46" s="34"/>
      <c r="C46" s="34" t="str">
        <f>IF(_xlfn.MAXIFS(Line_Tensions!$J$2:$J$5000,Line_Tensions!$C$2:$C$5000,SUBSTITUTE(SUMMARY!$B46,"*","~*"))&gt;0,_xlfn.MAXIFS(Line_Tensions!$J$2:$J$5000,Line_Tensions!$C$2:$C$5000,SUBSTITUTE(SUMMARY!$B46,"*","~*")),"")</f>
        <v/>
      </c>
      <c r="D46" s="37"/>
      <c r="E46" s="34"/>
      <c r="F46" s="38"/>
      <c r="G46" s="38"/>
      <c r="H46" s="38"/>
      <c r="I46" s="38"/>
      <c r="J46" s="38"/>
      <c r="K46" s="38"/>
      <c r="M46" s="30">
        <f t="shared" si="3"/>
        <v>29</v>
      </c>
      <c r="N46" s="34"/>
      <c r="O46" s="34" t="str">
        <f>IF(_xlfn.MAXIFS(Hook_Bollard_Forces!$F$2:$F$5000,Hook_Bollard_Forces!$C$2:$C$5000,SUBSTITUTE(SUMMARY!$N46,"*","~*"))&gt;0,_xlfn.MAXIFS(Hook_Bollard_Forces!$F$2:$F$5000,Hook_Bollard_Forces!$C$2:$C$5000,SUBSTITUTE(SUMMARY!$N46,"*","~*")),"")</f>
        <v/>
      </c>
      <c r="P46" s="37" t="str" cm="1">
        <f t="array" ref="P46">_xlfn.XLOOKUP(SUMMARY!$N46&amp;"|"&amp;SUMMARY!$O46,Hook_Bollard_Forces!$C$2:$C$209&amp;"|"&amp;Hook_Bollard_Forces!$F$2:$F$209,Hook_Bollard_Forces!$G$2:$G$209,"")</f>
        <v/>
      </c>
      <c r="Q46" s="34" t="str" cm="1">
        <f t="array" ref="Q46">_xlfn.XLOOKUP(SUMMARY!$N46&amp;"|"&amp;SUMMARY!$O46,Hook_Bollard_Forces!$C$2:$C$209&amp;"|"&amp;Hook_Bollard_Forces!$F$2:$F$209,Hook_Bollard_Forces!$B$2:$B$209,"")</f>
        <v/>
      </c>
      <c r="R46" s="38" t="str" cm="1">
        <f t="array" ref="R46">_xlfn.XLOOKUP(SUMMARY!$N46&amp;"|"&amp;SUMMARY!$O46,Hook_Bollard_Forces!$C$2:$C$209&amp;"|"&amp;Hook_Bollard_Forces!$F$2:$F$209,Hook_Bollard_Forces!$D$2:$D$209,"")</f>
        <v/>
      </c>
      <c r="S46" s="38" t="str" cm="1">
        <f t="array" ref="S46">_xlfn.XLOOKUP(SUMMARY!$N46&amp;"|"&amp;SUMMARY!$O46,Hook_Bollard_Forces!$C$2:$C$209&amp;"|"&amp;Hook_Bollard_Forces!$F$2:$F$209,Hook_Bollard_Forces!$E$2:$E$209,"")</f>
        <v/>
      </c>
      <c r="T46" s="38" t="str" cm="1">
        <f t="array" ref="T46">_xlfn.XLOOKUP(SUMMARY!$N46&amp;"|"&amp;SUMMARY!$O46,Hook_Bollard_Forces!$C$2:$C$209&amp;"|"&amp;Hook_Bollard_Forces!$F$2:$F$209,Hook_Bollard_Forces!$H$2:$H$209,"")</f>
        <v/>
      </c>
      <c r="U46" s="38" t="str" cm="1">
        <f t="array" ref="U46">_xlfn.XLOOKUP(SUMMARY!$N46&amp;"|"&amp;SUMMARY!$O46,Hook_Bollard_Forces!$C$2:$C$209&amp;"|"&amp;Hook_Bollard_Forces!$F$2:$F$209,Hook_Bollard_Forces!$I$2:$I$209,"")</f>
        <v/>
      </c>
      <c r="V46" s="38" t="str">
        <f>_xlfn.XLOOKUP(SUMMARY!$Q46,Cases!$B$2:$B$5,Cases!$C$2:$C$5,"")</f>
        <v/>
      </c>
      <c r="W46" s="38" t="str">
        <f>_xlfn.XLOOKUP(SUMMARY!$Q46,Cases!$B$2:$B$5,Cases!$D$2:$D$5,"")</f>
        <v/>
      </c>
    </row>
    <row r="47" spans="1:23" x14ac:dyDescent="0.25">
      <c r="A47" s="31">
        <f t="shared" si="5"/>
        <v>30</v>
      </c>
      <c r="B47" s="34"/>
      <c r="C47" s="34" t="str">
        <f>IF(_xlfn.MAXIFS(Line_Tensions!$J$2:$J$5000,Line_Tensions!$C$2:$C$5000,SUBSTITUTE(SUMMARY!$B47,"*","~*"))&gt;0,_xlfn.MAXIFS(Line_Tensions!$J$2:$J$5000,Line_Tensions!$C$2:$C$5000,SUBSTITUTE(SUMMARY!$B47,"*","~*")),"")</f>
        <v/>
      </c>
      <c r="D47" s="37"/>
      <c r="E47" s="34"/>
      <c r="F47" s="38"/>
      <c r="G47" s="38"/>
      <c r="H47" s="38"/>
      <c r="I47" s="38"/>
      <c r="J47" s="38"/>
      <c r="K47" s="38"/>
      <c r="M47" s="30">
        <f t="shared" si="3"/>
        <v>30</v>
      </c>
      <c r="N47" s="34"/>
      <c r="O47" s="34" t="str">
        <f>IF(_xlfn.MAXIFS(Hook_Bollard_Forces!$F$2:$F$5000,Hook_Bollard_Forces!$C$2:$C$5000,SUBSTITUTE(SUMMARY!$N47,"*","~*"))&gt;0,_xlfn.MAXIFS(Hook_Bollard_Forces!$F$2:$F$5000,Hook_Bollard_Forces!$C$2:$C$5000,SUBSTITUTE(SUMMARY!$N47,"*","~*")),"")</f>
        <v/>
      </c>
      <c r="P47" s="37" t="str" cm="1">
        <f t="array" ref="P47">_xlfn.XLOOKUP(SUMMARY!$N47&amp;"|"&amp;SUMMARY!$O47,Hook_Bollard_Forces!$C$2:$C$209&amp;"|"&amp;Hook_Bollard_Forces!$F$2:$F$209,Hook_Bollard_Forces!$G$2:$G$209,"")</f>
        <v/>
      </c>
      <c r="Q47" s="34" t="str" cm="1">
        <f t="array" ref="Q47">_xlfn.XLOOKUP(SUMMARY!$N47&amp;"|"&amp;SUMMARY!$O47,Hook_Bollard_Forces!$C$2:$C$209&amp;"|"&amp;Hook_Bollard_Forces!$F$2:$F$209,Hook_Bollard_Forces!$B$2:$B$209,"")</f>
        <v/>
      </c>
      <c r="R47" s="38" t="str" cm="1">
        <f t="array" ref="R47">_xlfn.XLOOKUP(SUMMARY!$N47&amp;"|"&amp;SUMMARY!$O47,Hook_Bollard_Forces!$C$2:$C$209&amp;"|"&amp;Hook_Bollard_Forces!$F$2:$F$209,Hook_Bollard_Forces!$D$2:$D$209,"")</f>
        <v/>
      </c>
      <c r="S47" s="38" t="str" cm="1">
        <f t="array" ref="S47">_xlfn.XLOOKUP(SUMMARY!$N47&amp;"|"&amp;SUMMARY!$O47,Hook_Bollard_Forces!$C$2:$C$209&amp;"|"&amp;Hook_Bollard_Forces!$F$2:$F$209,Hook_Bollard_Forces!$E$2:$E$209,"")</f>
        <v/>
      </c>
      <c r="T47" s="38" t="str" cm="1">
        <f t="array" ref="T47">_xlfn.XLOOKUP(SUMMARY!$N47&amp;"|"&amp;SUMMARY!$O47,Hook_Bollard_Forces!$C$2:$C$209&amp;"|"&amp;Hook_Bollard_Forces!$F$2:$F$209,Hook_Bollard_Forces!$H$2:$H$209,"")</f>
        <v/>
      </c>
      <c r="U47" s="38" t="str" cm="1">
        <f t="array" ref="U47">_xlfn.XLOOKUP(SUMMARY!$N47&amp;"|"&amp;SUMMARY!$O47,Hook_Bollard_Forces!$C$2:$C$209&amp;"|"&amp;Hook_Bollard_Forces!$F$2:$F$209,Hook_Bollard_Forces!$I$2:$I$209,"")</f>
        <v/>
      </c>
      <c r="V47" s="38" t="str">
        <f>_xlfn.XLOOKUP(SUMMARY!$Q47,Cases!$B$2:$B$5,Cases!$C$2:$C$5,"")</f>
        <v/>
      </c>
      <c r="W47" s="38" t="str">
        <f>_xlfn.XLOOKUP(SUMMARY!$Q47,Cases!$B$2:$B$5,Cases!$D$2:$D$5,"")</f>
        <v/>
      </c>
    </row>
    <row r="48" spans="1:23" x14ac:dyDescent="0.25">
      <c r="B48" s="13"/>
      <c r="C48" s="13"/>
      <c r="D48" s="13"/>
      <c r="E48" s="13"/>
      <c r="F48" s="13"/>
      <c r="G48" s="13"/>
      <c r="H48" s="13"/>
      <c r="I48" s="13"/>
      <c r="J48" s="13"/>
      <c r="K48" s="13"/>
      <c r="M48" s="30">
        <f>+M47+1</f>
        <v>31</v>
      </c>
      <c r="N48" s="34"/>
      <c r="O48" s="34" t="str">
        <f>IF(_xlfn.MAXIFS(Hook_Bollard_Forces!$F$2:$F$5000,Hook_Bollard_Forces!$C$2:$C$5000,SUBSTITUTE(SUMMARY!$N48,"*","~*"))&gt;0,_xlfn.MAXIFS(Hook_Bollard_Forces!$F$2:$F$5000,Hook_Bollard_Forces!$C$2:$C$5000,SUBSTITUTE(SUMMARY!$N48,"*","~*")),"")</f>
        <v/>
      </c>
      <c r="P48" s="37" t="str" cm="1">
        <f t="array" ref="P48">_xlfn.XLOOKUP(SUMMARY!$N48&amp;"|"&amp;SUMMARY!$O48,Hook_Bollard_Forces!$C$2:$C$209&amp;"|"&amp;Hook_Bollard_Forces!$F$2:$F$209,Hook_Bollard_Forces!$G$2:$G$209,"")</f>
        <v/>
      </c>
      <c r="Q48" s="34" t="str" cm="1">
        <f t="array" ref="Q48">_xlfn.XLOOKUP(SUMMARY!$N48&amp;"|"&amp;SUMMARY!$O48,Hook_Bollard_Forces!$C$2:$C$209&amp;"|"&amp;Hook_Bollard_Forces!$F$2:$F$209,Hook_Bollard_Forces!$B$2:$B$209,"")</f>
        <v/>
      </c>
      <c r="R48" s="38" t="str" cm="1">
        <f t="array" ref="R48">_xlfn.XLOOKUP(SUMMARY!$N48&amp;"|"&amp;SUMMARY!$O48,Hook_Bollard_Forces!$C$2:$C$209&amp;"|"&amp;Hook_Bollard_Forces!$F$2:$F$209,Hook_Bollard_Forces!$D$2:$D$209,"")</f>
        <v/>
      </c>
      <c r="S48" s="38" t="str" cm="1">
        <f t="array" ref="S48">_xlfn.XLOOKUP(SUMMARY!$N48&amp;"|"&amp;SUMMARY!$O48,Hook_Bollard_Forces!$C$2:$C$209&amp;"|"&amp;Hook_Bollard_Forces!$F$2:$F$209,Hook_Bollard_Forces!$E$2:$E$209,"")</f>
        <v/>
      </c>
      <c r="T48" s="38" t="str" cm="1">
        <f t="array" ref="T48">_xlfn.XLOOKUP(SUMMARY!$N48&amp;"|"&amp;SUMMARY!$O48,Hook_Bollard_Forces!$C$2:$C$209&amp;"|"&amp;Hook_Bollard_Forces!$F$2:$F$209,Hook_Bollard_Forces!$H$2:$H$209,"")</f>
        <v/>
      </c>
      <c r="U48" s="38" t="str" cm="1">
        <f t="array" ref="U48">_xlfn.XLOOKUP(SUMMARY!$N48&amp;"|"&amp;SUMMARY!$O48,Hook_Bollard_Forces!$C$2:$C$209&amp;"|"&amp;Hook_Bollard_Forces!$F$2:$F$209,Hook_Bollard_Forces!$I$2:$I$209,"")</f>
        <v/>
      </c>
      <c r="V48" s="38" t="str">
        <f>_xlfn.XLOOKUP(SUMMARY!$Q48,Cases!$B$2:$B$5,Cases!$C$2:$C$5,"")</f>
        <v/>
      </c>
      <c r="W48" s="38" t="str">
        <f>_xlfn.XLOOKUP(SUMMARY!$Q48,Cases!$B$2:$B$5,Cases!$D$2:$D$5,"")</f>
        <v/>
      </c>
    </row>
    <row r="49" spans="2:23" x14ac:dyDescent="0.25">
      <c r="B49" s="13"/>
      <c r="C49" s="13"/>
      <c r="D49" s="13"/>
      <c r="E49" s="13"/>
      <c r="F49" s="13"/>
      <c r="G49" s="13"/>
      <c r="H49" s="13"/>
      <c r="I49" s="13"/>
      <c r="J49" s="13"/>
      <c r="K49" s="13"/>
      <c r="M49" s="30">
        <f t="shared" si="3"/>
        <v>32</v>
      </c>
      <c r="N49" s="34"/>
      <c r="O49" s="34" t="str">
        <f>IF(_xlfn.MAXIFS(Hook_Bollard_Forces!$F$2:$F$5000,Hook_Bollard_Forces!$C$2:$C$5000,SUBSTITUTE(SUMMARY!$N49,"*","~*"))&gt;0,_xlfn.MAXIFS(Hook_Bollard_Forces!$F$2:$F$5000,Hook_Bollard_Forces!$C$2:$C$5000,SUBSTITUTE(SUMMARY!$N49,"*","~*")),"")</f>
        <v/>
      </c>
      <c r="P49" s="37" t="str" cm="1">
        <f t="array" ref="P49">_xlfn.XLOOKUP(SUMMARY!$N49&amp;"|"&amp;SUMMARY!$O49,Hook_Bollard_Forces!$C$2:$C$209&amp;"|"&amp;Hook_Bollard_Forces!$F$2:$F$209,Hook_Bollard_Forces!$G$2:$G$209,"")</f>
        <v/>
      </c>
      <c r="Q49" s="34" t="str" cm="1">
        <f t="array" ref="Q49">_xlfn.XLOOKUP(SUMMARY!$N49&amp;"|"&amp;SUMMARY!$O49,Hook_Bollard_Forces!$C$2:$C$209&amp;"|"&amp;Hook_Bollard_Forces!$F$2:$F$209,Hook_Bollard_Forces!$B$2:$B$209,"")</f>
        <v/>
      </c>
      <c r="R49" s="38" t="str" cm="1">
        <f t="array" ref="R49">_xlfn.XLOOKUP(SUMMARY!$N49&amp;"|"&amp;SUMMARY!$O49,Hook_Bollard_Forces!$C$2:$C$209&amp;"|"&amp;Hook_Bollard_Forces!$F$2:$F$209,Hook_Bollard_Forces!$D$2:$D$209,"")</f>
        <v/>
      </c>
      <c r="S49" s="38" t="str" cm="1">
        <f t="array" ref="S49">_xlfn.XLOOKUP(SUMMARY!$N49&amp;"|"&amp;SUMMARY!$O49,Hook_Bollard_Forces!$C$2:$C$209&amp;"|"&amp;Hook_Bollard_Forces!$F$2:$F$209,Hook_Bollard_Forces!$E$2:$E$209,"")</f>
        <v/>
      </c>
      <c r="T49" s="38" t="str" cm="1">
        <f t="array" ref="T49">_xlfn.XLOOKUP(SUMMARY!$N49&amp;"|"&amp;SUMMARY!$O49,Hook_Bollard_Forces!$C$2:$C$209&amp;"|"&amp;Hook_Bollard_Forces!$F$2:$F$209,Hook_Bollard_Forces!$H$2:$H$209,"")</f>
        <v/>
      </c>
      <c r="U49" s="38" t="str" cm="1">
        <f t="array" ref="U49">_xlfn.XLOOKUP(SUMMARY!$N49&amp;"|"&amp;SUMMARY!$O49,Hook_Bollard_Forces!$C$2:$C$209&amp;"|"&amp;Hook_Bollard_Forces!$F$2:$F$209,Hook_Bollard_Forces!$I$2:$I$209,"")</f>
        <v/>
      </c>
      <c r="V49" s="38" t="str">
        <f>_xlfn.XLOOKUP(SUMMARY!$Q49,Cases!$B$2:$B$5,Cases!$C$2:$C$5,"")</f>
        <v/>
      </c>
      <c r="W49" s="38" t="str">
        <f>_xlfn.XLOOKUP(SUMMARY!$Q49,Cases!$B$2:$B$5,Cases!$D$2:$D$5,"")</f>
        <v/>
      </c>
    </row>
    <row r="50" spans="2:23" x14ac:dyDescent="0.25">
      <c r="M50" s="30">
        <f t="shared" si="3"/>
        <v>33</v>
      </c>
      <c r="N50" s="34"/>
      <c r="O50" s="34" t="str">
        <f>IF(_xlfn.MAXIFS(Hook_Bollard_Forces!$F$2:$F$5000,Hook_Bollard_Forces!$C$2:$C$5000,SUBSTITUTE(SUMMARY!$N50,"*","~*"))&gt;0,_xlfn.MAXIFS(Hook_Bollard_Forces!$F$2:$F$5000,Hook_Bollard_Forces!$C$2:$C$5000,SUBSTITUTE(SUMMARY!$N50,"*","~*")),"")</f>
        <v/>
      </c>
      <c r="P50" s="37" t="str" cm="1">
        <f t="array" ref="P50">_xlfn.XLOOKUP(SUMMARY!$N50&amp;"|"&amp;SUMMARY!$O50,Hook_Bollard_Forces!$C$2:$C$209&amp;"|"&amp;Hook_Bollard_Forces!$F$2:$F$209,Hook_Bollard_Forces!$G$2:$G$209,"")</f>
        <v/>
      </c>
      <c r="Q50" s="34" t="str" cm="1">
        <f t="array" ref="Q50">_xlfn.XLOOKUP(SUMMARY!$N50&amp;"|"&amp;SUMMARY!$O50,Hook_Bollard_Forces!$C$2:$C$209&amp;"|"&amp;Hook_Bollard_Forces!$F$2:$F$209,Hook_Bollard_Forces!$B$2:$B$209,"")</f>
        <v/>
      </c>
      <c r="R50" s="38" t="str" cm="1">
        <f t="array" ref="R50">_xlfn.XLOOKUP(SUMMARY!$N50&amp;"|"&amp;SUMMARY!$O50,Hook_Bollard_Forces!$C$2:$C$209&amp;"|"&amp;Hook_Bollard_Forces!$F$2:$F$209,Hook_Bollard_Forces!$D$2:$D$209,"")</f>
        <v/>
      </c>
      <c r="S50" s="38" t="str" cm="1">
        <f t="array" ref="S50">_xlfn.XLOOKUP(SUMMARY!$N50&amp;"|"&amp;SUMMARY!$O50,Hook_Bollard_Forces!$C$2:$C$209&amp;"|"&amp;Hook_Bollard_Forces!$F$2:$F$209,Hook_Bollard_Forces!$E$2:$E$209,"")</f>
        <v/>
      </c>
      <c r="T50" s="38" t="str" cm="1">
        <f t="array" ref="T50">_xlfn.XLOOKUP(SUMMARY!$N50&amp;"|"&amp;SUMMARY!$O50,Hook_Bollard_Forces!$C$2:$C$209&amp;"|"&amp;Hook_Bollard_Forces!$F$2:$F$209,Hook_Bollard_Forces!$H$2:$H$209,"")</f>
        <v/>
      </c>
      <c r="U50" s="38" t="str" cm="1">
        <f t="array" ref="U50">_xlfn.XLOOKUP(SUMMARY!$N50&amp;"|"&amp;SUMMARY!$O50,Hook_Bollard_Forces!$C$2:$C$209&amp;"|"&amp;Hook_Bollard_Forces!$F$2:$F$209,Hook_Bollard_Forces!$I$2:$I$209,"")</f>
        <v/>
      </c>
      <c r="V50" s="38" t="str">
        <f>_xlfn.XLOOKUP(SUMMARY!$Q50,Cases!$B$2:$B$5,Cases!$C$2:$C$5,"")</f>
        <v/>
      </c>
      <c r="W50" s="38" t="str">
        <f>_xlfn.XLOOKUP(SUMMARY!$Q50,Cases!$B$2:$B$5,Cases!$D$2:$D$5,"")</f>
        <v/>
      </c>
    </row>
    <row r="51" spans="2:23" x14ac:dyDescent="0.25">
      <c r="B51" s="13"/>
      <c r="C51" s="13"/>
      <c r="D51" s="13"/>
      <c r="E51" s="13"/>
      <c r="F51" s="13"/>
      <c r="G51" s="13"/>
      <c r="H51" s="13"/>
      <c r="I51" s="13"/>
      <c r="J51" s="13"/>
      <c r="K51" s="13"/>
      <c r="M51" s="30">
        <f t="shared" si="3"/>
        <v>34</v>
      </c>
      <c r="N51" s="34"/>
      <c r="O51" s="34" t="str">
        <f>IF(_xlfn.MAXIFS(Hook_Bollard_Forces!$F$2:$F$5000,Hook_Bollard_Forces!$C$2:$C$5000,SUBSTITUTE(SUMMARY!$N51,"*","~*"))&gt;0,_xlfn.MAXIFS(Hook_Bollard_Forces!$F$2:$F$5000,Hook_Bollard_Forces!$C$2:$C$5000,SUBSTITUTE(SUMMARY!$N51,"*","~*")),"")</f>
        <v/>
      </c>
      <c r="P51" s="37" t="str" cm="1">
        <f t="array" ref="P51">_xlfn.XLOOKUP(SUMMARY!$N51&amp;"|"&amp;SUMMARY!$O51,Hook_Bollard_Forces!$C$2:$C$209&amp;"|"&amp;Hook_Bollard_Forces!$F$2:$F$209,Hook_Bollard_Forces!$G$2:$G$209,"")</f>
        <v/>
      </c>
      <c r="Q51" s="34" t="str" cm="1">
        <f t="array" ref="Q51">_xlfn.XLOOKUP(SUMMARY!$N51&amp;"|"&amp;SUMMARY!$O51,Hook_Bollard_Forces!$C$2:$C$209&amp;"|"&amp;Hook_Bollard_Forces!$F$2:$F$209,Hook_Bollard_Forces!$B$2:$B$209,"")</f>
        <v/>
      </c>
      <c r="R51" s="38" t="str" cm="1">
        <f t="array" ref="R51">_xlfn.XLOOKUP(SUMMARY!$N51&amp;"|"&amp;SUMMARY!$O51,Hook_Bollard_Forces!$C$2:$C$209&amp;"|"&amp;Hook_Bollard_Forces!$F$2:$F$209,Hook_Bollard_Forces!$D$2:$D$209,"")</f>
        <v/>
      </c>
      <c r="S51" s="38" t="str" cm="1">
        <f t="array" ref="S51">_xlfn.XLOOKUP(SUMMARY!$N51&amp;"|"&amp;SUMMARY!$O51,Hook_Bollard_Forces!$C$2:$C$209&amp;"|"&amp;Hook_Bollard_Forces!$F$2:$F$209,Hook_Bollard_Forces!$E$2:$E$209,"")</f>
        <v/>
      </c>
      <c r="T51" s="38" t="str" cm="1">
        <f t="array" ref="T51">_xlfn.XLOOKUP(SUMMARY!$N51&amp;"|"&amp;SUMMARY!$O51,Hook_Bollard_Forces!$C$2:$C$209&amp;"|"&amp;Hook_Bollard_Forces!$F$2:$F$209,Hook_Bollard_Forces!$H$2:$H$209,"")</f>
        <v/>
      </c>
      <c r="U51" s="38" t="str" cm="1">
        <f t="array" ref="U51">_xlfn.XLOOKUP(SUMMARY!$N51&amp;"|"&amp;SUMMARY!$O51,Hook_Bollard_Forces!$C$2:$C$209&amp;"|"&amp;Hook_Bollard_Forces!$F$2:$F$209,Hook_Bollard_Forces!$I$2:$I$209,"")</f>
        <v/>
      </c>
      <c r="V51" s="38" t="str">
        <f>_xlfn.XLOOKUP(SUMMARY!$Q51,Cases!$B$2:$B$5,Cases!$C$2:$C$5,"")</f>
        <v/>
      </c>
      <c r="W51" s="38" t="str">
        <f>_xlfn.XLOOKUP(SUMMARY!$Q51,Cases!$B$2:$B$5,Cases!$D$2:$D$5,"")</f>
        <v/>
      </c>
    </row>
    <row r="52" spans="2:23" ht="27" customHeight="1" x14ac:dyDescent="0.25">
      <c r="M52" s="30">
        <f t="shared" si="3"/>
        <v>35</v>
      </c>
      <c r="N52" s="34"/>
      <c r="O52" s="34" t="str">
        <f>IF(_xlfn.MAXIFS(Hook_Bollard_Forces!$F$2:$F$5000,Hook_Bollard_Forces!$C$2:$C$5000,SUBSTITUTE(SUMMARY!$N52,"*","~*"))&gt;0,_xlfn.MAXIFS(Hook_Bollard_Forces!$F$2:$F$5000,Hook_Bollard_Forces!$C$2:$C$5000,SUBSTITUTE(SUMMARY!$N52,"*","~*")),"")</f>
        <v/>
      </c>
      <c r="P52" s="37" t="str" cm="1">
        <f t="array" ref="P52">_xlfn.XLOOKUP(SUMMARY!$N52&amp;"|"&amp;SUMMARY!$O52,Hook_Bollard_Forces!$C$2:$C$209&amp;"|"&amp;Hook_Bollard_Forces!$F$2:$F$209,Hook_Bollard_Forces!$G$2:$G$209,"")</f>
        <v/>
      </c>
      <c r="Q52" s="34" t="str" cm="1">
        <f t="array" ref="Q52">_xlfn.XLOOKUP(SUMMARY!$N52&amp;"|"&amp;SUMMARY!$O52,Hook_Bollard_Forces!$C$2:$C$209&amp;"|"&amp;Hook_Bollard_Forces!$F$2:$F$209,Hook_Bollard_Forces!$B$2:$B$209,"")</f>
        <v/>
      </c>
      <c r="R52" s="38" t="str" cm="1">
        <f t="array" ref="R52">_xlfn.XLOOKUP(SUMMARY!$N52&amp;"|"&amp;SUMMARY!$O52,Hook_Bollard_Forces!$C$2:$C$209&amp;"|"&amp;Hook_Bollard_Forces!$F$2:$F$209,Hook_Bollard_Forces!$D$2:$D$209,"")</f>
        <v/>
      </c>
      <c r="S52" s="38" t="str" cm="1">
        <f t="array" ref="S52">_xlfn.XLOOKUP(SUMMARY!$N52&amp;"|"&amp;SUMMARY!$O52,Hook_Bollard_Forces!$C$2:$C$209&amp;"|"&amp;Hook_Bollard_Forces!$F$2:$F$209,Hook_Bollard_Forces!$E$2:$E$209,"")</f>
        <v/>
      </c>
      <c r="T52" s="38" t="str" cm="1">
        <f t="array" ref="T52">_xlfn.XLOOKUP(SUMMARY!$N52&amp;"|"&amp;SUMMARY!$O52,Hook_Bollard_Forces!$C$2:$C$209&amp;"|"&amp;Hook_Bollard_Forces!$F$2:$F$209,Hook_Bollard_Forces!$H$2:$H$209,"")</f>
        <v/>
      </c>
      <c r="U52" s="38" t="str" cm="1">
        <f t="array" ref="U52">_xlfn.XLOOKUP(SUMMARY!$N52&amp;"|"&amp;SUMMARY!$O52,Hook_Bollard_Forces!$C$2:$C$209&amp;"|"&amp;Hook_Bollard_Forces!$F$2:$F$209,Hook_Bollard_Forces!$I$2:$I$209,"")</f>
        <v/>
      </c>
      <c r="V52" s="38" t="str">
        <f>_xlfn.XLOOKUP(SUMMARY!$Q52,Cases!$B$2:$B$5,Cases!$C$2:$C$5,"")</f>
        <v/>
      </c>
      <c r="W52" s="38" t="str">
        <f>_xlfn.XLOOKUP(SUMMARY!$Q52,Cases!$B$2:$B$5,Cases!$D$2:$D$5,"")</f>
        <v/>
      </c>
    </row>
    <row r="53" spans="2:23" x14ac:dyDescent="0.25">
      <c r="M53" s="30">
        <f t="shared" si="3"/>
        <v>36</v>
      </c>
      <c r="N53" s="34"/>
      <c r="O53" s="34" t="str">
        <f>IF(_xlfn.MAXIFS(Hook_Bollard_Forces!$F$2:$F$5000,Hook_Bollard_Forces!$C$2:$C$5000,SUBSTITUTE(SUMMARY!$N53,"*","~*"))&gt;0,_xlfn.MAXIFS(Hook_Bollard_Forces!$F$2:$F$5000,Hook_Bollard_Forces!$C$2:$C$5000,SUBSTITUTE(SUMMARY!$N53,"*","~*")),"")</f>
        <v/>
      </c>
      <c r="P53" s="37" t="str" cm="1">
        <f t="array" ref="P53">_xlfn.XLOOKUP(SUMMARY!$N53&amp;"|"&amp;SUMMARY!$O53,Hook_Bollard_Forces!$C$2:$C$209&amp;"|"&amp;Hook_Bollard_Forces!$F$2:$F$209,Hook_Bollard_Forces!$G$2:$G$209,"")</f>
        <v/>
      </c>
      <c r="Q53" s="34" t="str" cm="1">
        <f t="array" ref="Q53">_xlfn.XLOOKUP(SUMMARY!$N53&amp;"|"&amp;SUMMARY!$O53,Hook_Bollard_Forces!$C$2:$C$209&amp;"|"&amp;Hook_Bollard_Forces!$F$2:$F$209,Hook_Bollard_Forces!$B$2:$B$209,"")</f>
        <v/>
      </c>
      <c r="R53" s="38" t="str" cm="1">
        <f t="array" ref="R53">_xlfn.XLOOKUP(SUMMARY!$N53&amp;"|"&amp;SUMMARY!$O53,Hook_Bollard_Forces!$C$2:$C$209&amp;"|"&amp;Hook_Bollard_Forces!$F$2:$F$209,Hook_Bollard_Forces!$D$2:$D$209,"")</f>
        <v/>
      </c>
      <c r="S53" s="38" t="str" cm="1">
        <f t="array" ref="S53">_xlfn.XLOOKUP(SUMMARY!$N53&amp;"|"&amp;SUMMARY!$O53,Hook_Bollard_Forces!$C$2:$C$209&amp;"|"&amp;Hook_Bollard_Forces!$F$2:$F$209,Hook_Bollard_Forces!$E$2:$E$209,"")</f>
        <v/>
      </c>
      <c r="T53" s="38" t="str" cm="1">
        <f t="array" ref="T53">_xlfn.XLOOKUP(SUMMARY!$N53&amp;"|"&amp;SUMMARY!$O53,Hook_Bollard_Forces!$C$2:$C$209&amp;"|"&amp;Hook_Bollard_Forces!$F$2:$F$209,Hook_Bollard_Forces!$H$2:$H$209,"")</f>
        <v/>
      </c>
      <c r="U53" s="38" t="str" cm="1">
        <f t="array" ref="U53">_xlfn.XLOOKUP(SUMMARY!$N53&amp;"|"&amp;SUMMARY!$O53,Hook_Bollard_Forces!$C$2:$C$209&amp;"|"&amp;Hook_Bollard_Forces!$F$2:$F$209,Hook_Bollard_Forces!$I$2:$I$209,"")</f>
        <v/>
      </c>
      <c r="V53" s="38" t="str">
        <f>_xlfn.XLOOKUP(SUMMARY!$Q53,Cases!$B$2:$B$5,Cases!$C$2:$C$5,"")</f>
        <v/>
      </c>
      <c r="W53" s="38" t="str">
        <f>_xlfn.XLOOKUP(SUMMARY!$Q53,Cases!$B$2:$B$5,Cases!$D$2:$D$5,"")</f>
        <v/>
      </c>
    </row>
    <row r="54" spans="2:23" x14ac:dyDescent="0.25">
      <c r="M54" s="30">
        <f t="shared" si="3"/>
        <v>37</v>
      </c>
      <c r="N54" s="34"/>
      <c r="O54" s="34" t="str">
        <f>IF(_xlfn.MAXIFS(Hook_Bollard_Forces!$F$2:$F$5000,Hook_Bollard_Forces!$C$2:$C$5000,SUBSTITUTE(SUMMARY!$N54,"*","~*"))&gt;0,_xlfn.MAXIFS(Hook_Bollard_Forces!$F$2:$F$5000,Hook_Bollard_Forces!$C$2:$C$5000,SUBSTITUTE(SUMMARY!$N54,"*","~*")),"")</f>
        <v/>
      </c>
      <c r="P54" s="37" t="str" cm="1">
        <f t="array" ref="P54">_xlfn.XLOOKUP(SUMMARY!$N54&amp;"|"&amp;SUMMARY!$O54,Hook_Bollard_Forces!$C$2:$C$209&amp;"|"&amp;Hook_Bollard_Forces!$F$2:$F$209,Hook_Bollard_Forces!$G$2:$G$209,"")</f>
        <v/>
      </c>
      <c r="Q54" s="34" t="str" cm="1">
        <f t="array" ref="Q54">_xlfn.XLOOKUP(SUMMARY!$N54&amp;"|"&amp;SUMMARY!$O54,Hook_Bollard_Forces!$C$2:$C$209&amp;"|"&amp;Hook_Bollard_Forces!$F$2:$F$209,Hook_Bollard_Forces!$B$2:$B$209,"")</f>
        <v/>
      </c>
      <c r="R54" s="38" t="str" cm="1">
        <f t="array" ref="R54">_xlfn.XLOOKUP(SUMMARY!$N54&amp;"|"&amp;SUMMARY!$O54,Hook_Bollard_Forces!$C$2:$C$209&amp;"|"&amp;Hook_Bollard_Forces!$F$2:$F$209,Hook_Bollard_Forces!$D$2:$D$209,"")</f>
        <v/>
      </c>
      <c r="S54" s="38" t="str" cm="1">
        <f t="array" ref="S54">_xlfn.XLOOKUP(SUMMARY!$N54&amp;"|"&amp;SUMMARY!$O54,Hook_Bollard_Forces!$C$2:$C$209&amp;"|"&amp;Hook_Bollard_Forces!$F$2:$F$209,Hook_Bollard_Forces!$E$2:$E$209,"")</f>
        <v/>
      </c>
      <c r="T54" s="38" t="str" cm="1">
        <f t="array" ref="T54">_xlfn.XLOOKUP(SUMMARY!$N54&amp;"|"&amp;SUMMARY!$O54,Hook_Bollard_Forces!$C$2:$C$209&amp;"|"&amp;Hook_Bollard_Forces!$F$2:$F$209,Hook_Bollard_Forces!$H$2:$H$209,"")</f>
        <v/>
      </c>
      <c r="U54" s="38" t="str" cm="1">
        <f t="array" ref="U54">_xlfn.XLOOKUP(SUMMARY!$N54&amp;"|"&amp;SUMMARY!$O54,Hook_Bollard_Forces!$C$2:$C$209&amp;"|"&amp;Hook_Bollard_Forces!$F$2:$F$209,Hook_Bollard_Forces!$I$2:$I$209,"")</f>
        <v/>
      </c>
      <c r="V54" s="38" t="str">
        <f>_xlfn.XLOOKUP(SUMMARY!$Q54,Cases!$B$2:$B$5,Cases!$C$2:$C$5,"")</f>
        <v/>
      </c>
      <c r="W54" s="38" t="str">
        <f>_xlfn.XLOOKUP(SUMMARY!$Q54,Cases!$B$2:$B$5,Cases!$D$2:$D$5,"")</f>
        <v/>
      </c>
    </row>
    <row r="55" spans="2:23" x14ac:dyDescent="0.25">
      <c r="M55" s="30">
        <f t="shared" si="3"/>
        <v>38</v>
      </c>
      <c r="N55" s="34"/>
      <c r="O55" s="34" t="str">
        <f>IF(_xlfn.MAXIFS(Hook_Bollard_Forces!$F$2:$F$5000,Hook_Bollard_Forces!$C$2:$C$5000,SUBSTITUTE(SUMMARY!$N55,"*","~*"))&gt;0,_xlfn.MAXIFS(Hook_Bollard_Forces!$F$2:$F$5000,Hook_Bollard_Forces!$C$2:$C$5000,SUBSTITUTE(SUMMARY!$N55,"*","~*")),"")</f>
        <v/>
      </c>
      <c r="P55" s="37" t="str" cm="1">
        <f t="array" ref="P55">_xlfn.XLOOKUP(SUMMARY!$N55&amp;"|"&amp;SUMMARY!$O55,Hook_Bollard_Forces!$C$2:$C$209&amp;"|"&amp;Hook_Bollard_Forces!$F$2:$F$209,Hook_Bollard_Forces!$G$2:$G$209,"")</f>
        <v/>
      </c>
      <c r="Q55" s="34" t="str" cm="1">
        <f t="array" ref="Q55">_xlfn.XLOOKUP(SUMMARY!$N55&amp;"|"&amp;SUMMARY!$O55,Hook_Bollard_Forces!$C$2:$C$209&amp;"|"&amp;Hook_Bollard_Forces!$F$2:$F$209,Hook_Bollard_Forces!$B$2:$B$209,"")</f>
        <v/>
      </c>
      <c r="R55" s="38" t="str" cm="1">
        <f t="array" ref="R55">_xlfn.XLOOKUP(SUMMARY!$N55&amp;"|"&amp;SUMMARY!$O55,Hook_Bollard_Forces!$C$2:$C$209&amp;"|"&amp;Hook_Bollard_Forces!$F$2:$F$209,Hook_Bollard_Forces!$D$2:$D$209,"")</f>
        <v/>
      </c>
      <c r="S55" s="38" t="str" cm="1">
        <f t="array" ref="S55">_xlfn.XLOOKUP(SUMMARY!$N55&amp;"|"&amp;SUMMARY!$O55,Hook_Bollard_Forces!$C$2:$C$209&amp;"|"&amp;Hook_Bollard_Forces!$F$2:$F$209,Hook_Bollard_Forces!$E$2:$E$209,"")</f>
        <v/>
      </c>
      <c r="T55" s="38" t="str" cm="1">
        <f t="array" ref="T55">_xlfn.XLOOKUP(SUMMARY!$N55&amp;"|"&amp;SUMMARY!$O55,Hook_Bollard_Forces!$C$2:$C$209&amp;"|"&amp;Hook_Bollard_Forces!$F$2:$F$209,Hook_Bollard_Forces!$H$2:$H$209,"")</f>
        <v/>
      </c>
      <c r="U55" s="38" t="str" cm="1">
        <f t="array" ref="U55">_xlfn.XLOOKUP(SUMMARY!$N55&amp;"|"&amp;SUMMARY!$O55,Hook_Bollard_Forces!$C$2:$C$209&amp;"|"&amp;Hook_Bollard_Forces!$F$2:$F$209,Hook_Bollard_Forces!$I$2:$I$209,"")</f>
        <v/>
      </c>
      <c r="V55" s="38" t="str">
        <f>_xlfn.XLOOKUP(SUMMARY!$Q55,Cases!$B$2:$B$5,Cases!$C$2:$C$5,"")</f>
        <v/>
      </c>
      <c r="W55" s="38" t="str">
        <f>_xlfn.XLOOKUP(SUMMARY!$Q55,Cases!$B$2:$B$5,Cases!$D$2:$D$5,"")</f>
        <v/>
      </c>
    </row>
    <row r="56" spans="2:23" x14ac:dyDescent="0.25">
      <c r="M56" s="30">
        <f t="shared" si="3"/>
        <v>39</v>
      </c>
      <c r="N56" s="34"/>
      <c r="O56" s="34" t="str">
        <f>IF(_xlfn.MAXIFS(Hook_Bollard_Forces!$F$2:$F$5000,Hook_Bollard_Forces!$C$2:$C$5000,SUBSTITUTE(SUMMARY!$N56,"*","~*"))&gt;0,_xlfn.MAXIFS(Hook_Bollard_Forces!$F$2:$F$5000,Hook_Bollard_Forces!$C$2:$C$5000,SUBSTITUTE(SUMMARY!$N56,"*","~*")),"")</f>
        <v/>
      </c>
      <c r="P56" s="37" t="str" cm="1">
        <f t="array" ref="P56">_xlfn.XLOOKUP(SUMMARY!$N56&amp;"|"&amp;SUMMARY!$O56,Hook_Bollard_Forces!$C$2:$C$209&amp;"|"&amp;Hook_Bollard_Forces!$F$2:$F$209,Hook_Bollard_Forces!$G$2:$G$209,"")</f>
        <v/>
      </c>
      <c r="Q56" s="34" t="str" cm="1">
        <f t="array" ref="Q56">_xlfn.XLOOKUP(SUMMARY!$N56&amp;"|"&amp;SUMMARY!$O56,Hook_Bollard_Forces!$C$2:$C$209&amp;"|"&amp;Hook_Bollard_Forces!$F$2:$F$209,Hook_Bollard_Forces!$B$2:$B$209,"")</f>
        <v/>
      </c>
      <c r="R56" s="38" t="str" cm="1">
        <f t="array" ref="R56">_xlfn.XLOOKUP(SUMMARY!$N56&amp;"|"&amp;SUMMARY!$O56,Hook_Bollard_Forces!$C$2:$C$209&amp;"|"&amp;Hook_Bollard_Forces!$F$2:$F$209,Hook_Bollard_Forces!$D$2:$D$209,"")</f>
        <v/>
      </c>
      <c r="S56" s="38" t="str" cm="1">
        <f t="array" ref="S56">_xlfn.XLOOKUP(SUMMARY!$N56&amp;"|"&amp;SUMMARY!$O56,Hook_Bollard_Forces!$C$2:$C$209&amp;"|"&amp;Hook_Bollard_Forces!$F$2:$F$209,Hook_Bollard_Forces!$E$2:$E$209,"")</f>
        <v/>
      </c>
      <c r="T56" s="38" t="str" cm="1">
        <f t="array" ref="T56">_xlfn.XLOOKUP(SUMMARY!$N56&amp;"|"&amp;SUMMARY!$O56,Hook_Bollard_Forces!$C$2:$C$209&amp;"|"&amp;Hook_Bollard_Forces!$F$2:$F$209,Hook_Bollard_Forces!$H$2:$H$209,"")</f>
        <v/>
      </c>
      <c r="U56" s="38" t="str" cm="1">
        <f t="array" ref="U56">_xlfn.XLOOKUP(SUMMARY!$N56&amp;"|"&amp;SUMMARY!$O56,Hook_Bollard_Forces!$C$2:$C$209&amp;"|"&amp;Hook_Bollard_Forces!$F$2:$F$209,Hook_Bollard_Forces!$I$2:$I$209,"")</f>
        <v/>
      </c>
      <c r="V56" s="38" t="str">
        <f>_xlfn.XLOOKUP(SUMMARY!$Q56,Cases!$B$2:$B$5,Cases!$C$2:$C$5,"")</f>
        <v/>
      </c>
      <c r="W56" s="38" t="str">
        <f>_xlfn.XLOOKUP(SUMMARY!$Q56,Cases!$B$2:$B$5,Cases!$D$2:$D$5,"")</f>
        <v/>
      </c>
    </row>
    <row r="57" spans="2:23" x14ac:dyDescent="0.25">
      <c r="M57" s="30">
        <f t="shared" si="3"/>
        <v>40</v>
      </c>
      <c r="N57" s="34"/>
      <c r="O57" s="34" t="str">
        <f>IF(_xlfn.MAXIFS(Hook_Bollard_Forces!$F$2:$F$5000,Hook_Bollard_Forces!$C$2:$C$5000,SUBSTITUTE(SUMMARY!$N57,"*","~*"))&gt;0,_xlfn.MAXIFS(Hook_Bollard_Forces!$F$2:$F$5000,Hook_Bollard_Forces!$C$2:$C$5000,SUBSTITUTE(SUMMARY!$N57,"*","~*")),"")</f>
        <v/>
      </c>
      <c r="P57" s="37" t="str" cm="1">
        <f t="array" ref="P57">_xlfn.XLOOKUP(SUMMARY!$N57&amp;"|"&amp;SUMMARY!$O57,Hook_Bollard_Forces!$C$2:$C$209&amp;"|"&amp;Hook_Bollard_Forces!$F$2:$F$209,Hook_Bollard_Forces!$G$2:$G$209,"")</f>
        <v/>
      </c>
      <c r="Q57" s="34" t="str" cm="1">
        <f t="array" ref="Q57">_xlfn.XLOOKUP(SUMMARY!$N57&amp;"|"&amp;SUMMARY!$O57,Hook_Bollard_Forces!$C$2:$C$209&amp;"|"&amp;Hook_Bollard_Forces!$F$2:$F$209,Hook_Bollard_Forces!$B$2:$B$209,"")</f>
        <v/>
      </c>
      <c r="R57" s="38" t="str" cm="1">
        <f t="array" ref="R57">_xlfn.XLOOKUP(SUMMARY!$N57&amp;"|"&amp;SUMMARY!$O57,Hook_Bollard_Forces!$C$2:$C$209&amp;"|"&amp;Hook_Bollard_Forces!$F$2:$F$209,Hook_Bollard_Forces!$D$2:$D$209,"")</f>
        <v/>
      </c>
      <c r="S57" s="38" t="str" cm="1">
        <f t="array" ref="S57">_xlfn.XLOOKUP(SUMMARY!$N57&amp;"|"&amp;SUMMARY!$O57,Hook_Bollard_Forces!$C$2:$C$209&amp;"|"&amp;Hook_Bollard_Forces!$F$2:$F$209,Hook_Bollard_Forces!$E$2:$E$209,"")</f>
        <v/>
      </c>
      <c r="T57" s="38" t="str" cm="1">
        <f t="array" ref="T57">_xlfn.XLOOKUP(SUMMARY!$N57&amp;"|"&amp;SUMMARY!$O57,Hook_Bollard_Forces!$C$2:$C$209&amp;"|"&amp;Hook_Bollard_Forces!$F$2:$F$209,Hook_Bollard_Forces!$H$2:$H$209,"")</f>
        <v/>
      </c>
      <c r="U57" s="38" t="str" cm="1">
        <f t="array" ref="U57">_xlfn.XLOOKUP(SUMMARY!$N57&amp;"|"&amp;SUMMARY!$O57,Hook_Bollard_Forces!$C$2:$C$209&amp;"|"&amp;Hook_Bollard_Forces!$F$2:$F$209,Hook_Bollard_Forces!$I$2:$I$209,"")</f>
        <v/>
      </c>
      <c r="V57" s="38" t="str">
        <f>_xlfn.XLOOKUP(SUMMARY!$Q57,Cases!$B$2:$B$5,Cases!$C$2:$C$5,"")</f>
        <v/>
      </c>
      <c r="W57" s="38" t="str">
        <f>_xlfn.XLOOKUP(SUMMARY!$Q57,Cases!$B$2:$B$5,Cases!$D$2:$D$5,"")</f>
        <v/>
      </c>
    </row>
    <row r="58" spans="2:23" x14ac:dyDescent="0.25">
      <c r="M58" s="30">
        <f t="shared" si="3"/>
        <v>41</v>
      </c>
      <c r="N58" s="34"/>
      <c r="O58" s="34" t="str">
        <f>IF(_xlfn.MAXIFS(Hook_Bollard_Forces!$F$2:$F$5000,Hook_Bollard_Forces!$C$2:$C$5000,SUBSTITUTE(SUMMARY!$N58,"*","~*"))&gt;0,_xlfn.MAXIFS(Hook_Bollard_Forces!$F$2:$F$5000,Hook_Bollard_Forces!$C$2:$C$5000,SUBSTITUTE(SUMMARY!$N58,"*","~*")),"")</f>
        <v/>
      </c>
      <c r="P58" s="37" t="str" cm="1">
        <f t="array" ref="P58">_xlfn.XLOOKUP(SUMMARY!$N58&amp;"|"&amp;SUMMARY!$O58,Hook_Bollard_Forces!$C$2:$C$209&amp;"|"&amp;Hook_Bollard_Forces!$F$2:$F$209,Hook_Bollard_Forces!$G$2:$G$209,"")</f>
        <v/>
      </c>
      <c r="Q58" s="34" t="str" cm="1">
        <f t="array" ref="Q58">_xlfn.XLOOKUP(SUMMARY!$N58&amp;"|"&amp;SUMMARY!$O58,Hook_Bollard_Forces!$C$2:$C$209&amp;"|"&amp;Hook_Bollard_Forces!$F$2:$F$209,Hook_Bollard_Forces!$B$2:$B$209,"")</f>
        <v/>
      </c>
      <c r="R58" s="38" t="str" cm="1">
        <f t="array" ref="R58">_xlfn.XLOOKUP(SUMMARY!$N58&amp;"|"&amp;SUMMARY!$O58,Hook_Bollard_Forces!$C$2:$C$209&amp;"|"&amp;Hook_Bollard_Forces!$F$2:$F$209,Hook_Bollard_Forces!$D$2:$D$209,"")</f>
        <v/>
      </c>
      <c r="S58" s="38" t="str" cm="1">
        <f t="array" ref="S58">_xlfn.XLOOKUP(SUMMARY!$N58&amp;"|"&amp;SUMMARY!$O58,Hook_Bollard_Forces!$C$2:$C$209&amp;"|"&amp;Hook_Bollard_Forces!$F$2:$F$209,Hook_Bollard_Forces!$E$2:$E$209,"")</f>
        <v/>
      </c>
      <c r="T58" s="38" t="str" cm="1">
        <f t="array" ref="T58">_xlfn.XLOOKUP(SUMMARY!$N58&amp;"|"&amp;SUMMARY!$O58,Hook_Bollard_Forces!$C$2:$C$209&amp;"|"&amp;Hook_Bollard_Forces!$F$2:$F$209,Hook_Bollard_Forces!$H$2:$H$209,"")</f>
        <v/>
      </c>
      <c r="U58" s="38" t="str" cm="1">
        <f t="array" ref="U58">_xlfn.XLOOKUP(SUMMARY!$N58&amp;"|"&amp;SUMMARY!$O58,Hook_Bollard_Forces!$C$2:$C$209&amp;"|"&amp;Hook_Bollard_Forces!$F$2:$F$209,Hook_Bollard_Forces!$I$2:$I$209,"")</f>
        <v/>
      </c>
      <c r="V58" s="38" t="str">
        <f>_xlfn.XLOOKUP(SUMMARY!$Q58,Cases!$B$2:$B$5,Cases!$C$2:$C$5,"")</f>
        <v/>
      </c>
      <c r="W58" s="38" t="str">
        <f>_xlfn.XLOOKUP(SUMMARY!$Q58,Cases!$B$2:$B$5,Cases!$D$2:$D$5,"")</f>
        <v/>
      </c>
    </row>
    <row r="59" spans="2:23" x14ac:dyDescent="0.25">
      <c r="M59" s="30">
        <f t="shared" si="3"/>
        <v>42</v>
      </c>
      <c r="N59" s="34"/>
      <c r="O59" s="34" t="str">
        <f>IF(_xlfn.MAXIFS(Hook_Bollard_Forces!$F$2:$F$5000,Hook_Bollard_Forces!$C$2:$C$5000,SUBSTITUTE(SUMMARY!$N59,"*","~*"))&gt;0,_xlfn.MAXIFS(Hook_Bollard_Forces!$F$2:$F$5000,Hook_Bollard_Forces!$C$2:$C$5000,SUBSTITUTE(SUMMARY!$N59,"*","~*")),"")</f>
        <v/>
      </c>
      <c r="P59" s="37" t="str" cm="1">
        <f t="array" ref="P59">_xlfn.XLOOKUP(SUMMARY!$N59&amp;"|"&amp;SUMMARY!$O59,Hook_Bollard_Forces!$C$2:$C$209&amp;"|"&amp;Hook_Bollard_Forces!$F$2:$F$209,Hook_Bollard_Forces!$G$2:$G$209,"")</f>
        <v/>
      </c>
      <c r="Q59" s="34" t="str" cm="1">
        <f t="array" ref="Q59">_xlfn.XLOOKUP(SUMMARY!$N59&amp;"|"&amp;SUMMARY!$O59,Hook_Bollard_Forces!$C$2:$C$209&amp;"|"&amp;Hook_Bollard_Forces!$F$2:$F$209,Hook_Bollard_Forces!$B$2:$B$209,"")</f>
        <v/>
      </c>
      <c r="R59" s="38" t="str" cm="1">
        <f t="array" ref="R59">_xlfn.XLOOKUP(SUMMARY!$N59&amp;"|"&amp;SUMMARY!$O59,Hook_Bollard_Forces!$C$2:$C$209&amp;"|"&amp;Hook_Bollard_Forces!$F$2:$F$209,Hook_Bollard_Forces!$D$2:$D$209,"")</f>
        <v/>
      </c>
      <c r="S59" s="38" t="str" cm="1">
        <f t="array" ref="S59">_xlfn.XLOOKUP(SUMMARY!$N59&amp;"|"&amp;SUMMARY!$O59,Hook_Bollard_Forces!$C$2:$C$209&amp;"|"&amp;Hook_Bollard_Forces!$F$2:$F$209,Hook_Bollard_Forces!$E$2:$E$209,"")</f>
        <v/>
      </c>
      <c r="T59" s="38" t="str" cm="1">
        <f t="array" ref="T59">_xlfn.XLOOKUP(SUMMARY!$N59&amp;"|"&amp;SUMMARY!$O59,Hook_Bollard_Forces!$C$2:$C$209&amp;"|"&amp;Hook_Bollard_Forces!$F$2:$F$209,Hook_Bollard_Forces!$H$2:$H$209,"")</f>
        <v/>
      </c>
      <c r="U59" s="38" t="str" cm="1">
        <f t="array" ref="U59">_xlfn.XLOOKUP(SUMMARY!$N59&amp;"|"&amp;SUMMARY!$O59,Hook_Bollard_Forces!$C$2:$C$209&amp;"|"&amp;Hook_Bollard_Forces!$F$2:$F$209,Hook_Bollard_Forces!$I$2:$I$209,"")</f>
        <v/>
      </c>
      <c r="V59" s="38" t="str">
        <f>_xlfn.XLOOKUP(SUMMARY!$Q59,Cases!$B$2:$B$5,Cases!$C$2:$C$5,"")</f>
        <v/>
      </c>
      <c r="W59" s="38" t="str">
        <f>_xlfn.XLOOKUP(SUMMARY!$Q59,Cases!$B$2:$B$5,Cases!$D$2:$D$5,"")</f>
        <v/>
      </c>
    </row>
    <row r="60" spans="2:23" x14ac:dyDescent="0.25">
      <c r="M60" s="30">
        <f t="shared" si="3"/>
        <v>43</v>
      </c>
      <c r="N60" s="34"/>
      <c r="O60" s="34" t="str">
        <f>IF(_xlfn.MAXIFS(Hook_Bollard_Forces!$F$2:$F$5000,Hook_Bollard_Forces!$C$2:$C$5000,SUBSTITUTE(SUMMARY!$N60,"*","~*"))&gt;0,_xlfn.MAXIFS(Hook_Bollard_Forces!$F$2:$F$5000,Hook_Bollard_Forces!$C$2:$C$5000,SUBSTITUTE(SUMMARY!$N60,"*","~*")),"")</f>
        <v/>
      </c>
      <c r="P60" s="37" t="str" cm="1">
        <f t="array" ref="P60">_xlfn.XLOOKUP(SUMMARY!$N60&amp;"|"&amp;SUMMARY!$O60,Hook_Bollard_Forces!$C$2:$C$209&amp;"|"&amp;Hook_Bollard_Forces!$F$2:$F$209,Hook_Bollard_Forces!$G$2:$G$209,"")</f>
        <v/>
      </c>
      <c r="Q60" s="34" t="str" cm="1">
        <f t="array" ref="Q60">_xlfn.XLOOKUP(SUMMARY!$N60&amp;"|"&amp;SUMMARY!$O60,Hook_Bollard_Forces!$C$2:$C$209&amp;"|"&amp;Hook_Bollard_Forces!$F$2:$F$209,Hook_Bollard_Forces!$B$2:$B$209,"")</f>
        <v/>
      </c>
      <c r="R60" s="38" t="str" cm="1">
        <f t="array" ref="R60">_xlfn.XLOOKUP(SUMMARY!$N60&amp;"|"&amp;SUMMARY!$O60,Hook_Bollard_Forces!$C$2:$C$209&amp;"|"&amp;Hook_Bollard_Forces!$F$2:$F$209,Hook_Bollard_Forces!$D$2:$D$209,"")</f>
        <v/>
      </c>
      <c r="S60" s="38" t="str" cm="1">
        <f t="array" ref="S60">_xlfn.XLOOKUP(SUMMARY!$N60&amp;"|"&amp;SUMMARY!$O60,Hook_Bollard_Forces!$C$2:$C$209&amp;"|"&amp;Hook_Bollard_Forces!$F$2:$F$209,Hook_Bollard_Forces!$E$2:$E$209,"")</f>
        <v/>
      </c>
      <c r="T60" s="38" t="str" cm="1">
        <f t="array" ref="T60">_xlfn.XLOOKUP(SUMMARY!$N60&amp;"|"&amp;SUMMARY!$O60,Hook_Bollard_Forces!$C$2:$C$209&amp;"|"&amp;Hook_Bollard_Forces!$F$2:$F$209,Hook_Bollard_Forces!$H$2:$H$209,"")</f>
        <v/>
      </c>
      <c r="U60" s="38" t="str" cm="1">
        <f t="array" ref="U60">_xlfn.XLOOKUP(SUMMARY!$N60&amp;"|"&amp;SUMMARY!$O60,Hook_Bollard_Forces!$C$2:$C$209&amp;"|"&amp;Hook_Bollard_Forces!$F$2:$F$209,Hook_Bollard_Forces!$I$2:$I$209,"")</f>
        <v/>
      </c>
      <c r="V60" s="38" t="str">
        <f>_xlfn.XLOOKUP(SUMMARY!$Q60,Cases!$B$2:$B$5,Cases!$C$2:$C$5,"")</f>
        <v/>
      </c>
      <c r="W60" s="38" t="str">
        <f>_xlfn.XLOOKUP(SUMMARY!$Q60,Cases!$B$2:$B$5,Cases!$D$2:$D$5,"")</f>
        <v/>
      </c>
    </row>
    <row r="61" spans="2:23" x14ac:dyDescent="0.25">
      <c r="M61" s="30">
        <f t="shared" si="3"/>
        <v>44</v>
      </c>
      <c r="N61" s="34"/>
      <c r="O61" s="34" t="str">
        <f>IF(_xlfn.MAXIFS(Hook_Bollard_Forces!$F$2:$F$5000,Hook_Bollard_Forces!$C$2:$C$5000,SUBSTITUTE(SUMMARY!$N61,"*","~*"))&gt;0,_xlfn.MAXIFS(Hook_Bollard_Forces!$F$2:$F$5000,Hook_Bollard_Forces!$C$2:$C$5000,SUBSTITUTE(SUMMARY!$N61,"*","~*")),"")</f>
        <v/>
      </c>
      <c r="P61" s="37" t="str" cm="1">
        <f t="array" ref="P61">_xlfn.XLOOKUP(SUMMARY!$N61&amp;"|"&amp;SUMMARY!$O61,Hook_Bollard_Forces!$C$2:$C$209&amp;"|"&amp;Hook_Bollard_Forces!$F$2:$F$209,Hook_Bollard_Forces!$G$2:$G$209,"")</f>
        <v/>
      </c>
      <c r="Q61" s="34" t="str" cm="1">
        <f t="array" ref="Q61">_xlfn.XLOOKUP(SUMMARY!$N61&amp;"|"&amp;SUMMARY!$O61,Hook_Bollard_Forces!$C$2:$C$209&amp;"|"&amp;Hook_Bollard_Forces!$F$2:$F$209,Hook_Bollard_Forces!$B$2:$B$209,"")</f>
        <v/>
      </c>
      <c r="R61" s="38" t="str" cm="1">
        <f t="array" ref="R61">_xlfn.XLOOKUP(SUMMARY!$N61&amp;"|"&amp;SUMMARY!$O61,Hook_Bollard_Forces!$C$2:$C$209&amp;"|"&amp;Hook_Bollard_Forces!$F$2:$F$209,Hook_Bollard_Forces!$D$2:$D$209,"")</f>
        <v/>
      </c>
      <c r="S61" s="38" t="str" cm="1">
        <f t="array" ref="S61">_xlfn.XLOOKUP(SUMMARY!$N61&amp;"|"&amp;SUMMARY!$O61,Hook_Bollard_Forces!$C$2:$C$209&amp;"|"&amp;Hook_Bollard_Forces!$F$2:$F$209,Hook_Bollard_Forces!$E$2:$E$209,"")</f>
        <v/>
      </c>
      <c r="T61" s="38" t="str" cm="1">
        <f t="array" ref="T61">_xlfn.XLOOKUP(SUMMARY!$N61&amp;"|"&amp;SUMMARY!$O61,Hook_Bollard_Forces!$C$2:$C$209&amp;"|"&amp;Hook_Bollard_Forces!$F$2:$F$209,Hook_Bollard_Forces!$H$2:$H$209,"")</f>
        <v/>
      </c>
      <c r="U61" s="38" t="str" cm="1">
        <f t="array" ref="U61">_xlfn.XLOOKUP(SUMMARY!$N61&amp;"|"&amp;SUMMARY!$O61,Hook_Bollard_Forces!$C$2:$C$209&amp;"|"&amp;Hook_Bollard_Forces!$F$2:$F$209,Hook_Bollard_Forces!$I$2:$I$209,"")</f>
        <v/>
      </c>
      <c r="V61" s="38" t="str">
        <f>_xlfn.XLOOKUP(SUMMARY!$Q61,Cases!$B$2:$B$5,Cases!$C$2:$C$5,"")</f>
        <v/>
      </c>
      <c r="W61" s="38" t="str">
        <f>_xlfn.XLOOKUP(SUMMARY!$Q61,Cases!$B$2:$B$5,Cases!$D$2:$D$5,"")</f>
        <v/>
      </c>
    </row>
    <row r="62" spans="2:23" x14ac:dyDescent="0.25">
      <c r="M62" s="30">
        <f t="shared" si="3"/>
        <v>45</v>
      </c>
      <c r="N62" s="34"/>
      <c r="O62" s="34" t="str">
        <f>IF(_xlfn.MAXIFS(Hook_Bollard_Forces!$F$2:$F$5000,Hook_Bollard_Forces!$C$2:$C$5000,SUBSTITUTE(SUMMARY!$N62,"*","~*"))&gt;0,_xlfn.MAXIFS(Hook_Bollard_Forces!$F$2:$F$5000,Hook_Bollard_Forces!$C$2:$C$5000,SUBSTITUTE(SUMMARY!$N62,"*","~*")),"")</f>
        <v/>
      </c>
      <c r="P62" s="37" t="str" cm="1">
        <f t="array" ref="P62">_xlfn.XLOOKUP(SUMMARY!$N62&amp;"|"&amp;SUMMARY!$O62,Hook_Bollard_Forces!$C$2:$C$209&amp;"|"&amp;Hook_Bollard_Forces!$F$2:$F$209,Hook_Bollard_Forces!$G$2:$G$209,"")</f>
        <v/>
      </c>
      <c r="Q62" s="34" t="str" cm="1">
        <f t="array" ref="Q62">_xlfn.XLOOKUP(SUMMARY!$N62&amp;"|"&amp;SUMMARY!$O62,Hook_Bollard_Forces!$C$2:$C$209&amp;"|"&amp;Hook_Bollard_Forces!$F$2:$F$209,Hook_Bollard_Forces!$B$2:$B$209,"")</f>
        <v/>
      </c>
      <c r="R62" s="38" t="str" cm="1">
        <f t="array" ref="R62">_xlfn.XLOOKUP(SUMMARY!$N62&amp;"|"&amp;SUMMARY!$O62,Hook_Bollard_Forces!$C$2:$C$209&amp;"|"&amp;Hook_Bollard_Forces!$F$2:$F$209,Hook_Bollard_Forces!$D$2:$D$209,"")</f>
        <v/>
      </c>
      <c r="S62" s="38" t="str" cm="1">
        <f t="array" ref="S62">_xlfn.XLOOKUP(SUMMARY!$N62&amp;"|"&amp;SUMMARY!$O62,Hook_Bollard_Forces!$C$2:$C$209&amp;"|"&amp;Hook_Bollard_Forces!$F$2:$F$209,Hook_Bollard_Forces!$E$2:$E$209,"")</f>
        <v/>
      </c>
      <c r="T62" s="38" t="str" cm="1">
        <f t="array" ref="T62">_xlfn.XLOOKUP(SUMMARY!$N62&amp;"|"&amp;SUMMARY!$O62,Hook_Bollard_Forces!$C$2:$C$209&amp;"|"&amp;Hook_Bollard_Forces!$F$2:$F$209,Hook_Bollard_Forces!$H$2:$H$209,"")</f>
        <v/>
      </c>
      <c r="U62" s="38" t="str" cm="1">
        <f t="array" ref="U62">_xlfn.XLOOKUP(SUMMARY!$N62&amp;"|"&amp;SUMMARY!$O62,Hook_Bollard_Forces!$C$2:$C$209&amp;"|"&amp;Hook_Bollard_Forces!$F$2:$F$209,Hook_Bollard_Forces!$I$2:$I$209,"")</f>
        <v/>
      </c>
      <c r="V62" s="38" t="str">
        <f>_xlfn.XLOOKUP(SUMMARY!$Q62,Cases!$B$2:$B$5,Cases!$C$2:$C$5,"")</f>
        <v/>
      </c>
      <c r="W62" s="38" t="str">
        <f>_xlfn.XLOOKUP(SUMMARY!$Q62,Cases!$B$2:$B$5,Cases!$D$2:$D$5,"")</f>
        <v/>
      </c>
    </row>
    <row r="63" spans="2:23" x14ac:dyDescent="0.25">
      <c r="M63" s="30">
        <f t="shared" si="3"/>
        <v>46</v>
      </c>
      <c r="N63" s="34"/>
      <c r="O63" s="34" t="str">
        <f>IF(_xlfn.MAXIFS(Hook_Bollard_Forces!$F$2:$F$5000,Hook_Bollard_Forces!$C$2:$C$5000,SUBSTITUTE(SUMMARY!$N63,"*","~*"))&gt;0,_xlfn.MAXIFS(Hook_Bollard_Forces!$F$2:$F$5000,Hook_Bollard_Forces!$C$2:$C$5000,SUBSTITUTE(SUMMARY!$N63,"*","~*")),"")</f>
        <v/>
      </c>
      <c r="P63" s="37" t="str" cm="1">
        <f t="array" ref="P63">_xlfn.XLOOKUP(SUMMARY!$N63&amp;"|"&amp;SUMMARY!$O63,Hook_Bollard_Forces!$C$2:$C$209&amp;"|"&amp;Hook_Bollard_Forces!$F$2:$F$209,Hook_Bollard_Forces!$G$2:$G$209,"")</f>
        <v/>
      </c>
      <c r="Q63" s="34" t="str" cm="1">
        <f t="array" ref="Q63">_xlfn.XLOOKUP(SUMMARY!$N63&amp;"|"&amp;SUMMARY!$O63,Hook_Bollard_Forces!$C$2:$C$209&amp;"|"&amp;Hook_Bollard_Forces!$F$2:$F$209,Hook_Bollard_Forces!$B$2:$B$209,"")</f>
        <v/>
      </c>
      <c r="R63" s="38" t="str" cm="1">
        <f t="array" ref="R63">_xlfn.XLOOKUP(SUMMARY!$N63&amp;"|"&amp;SUMMARY!$O63,Hook_Bollard_Forces!$C$2:$C$209&amp;"|"&amp;Hook_Bollard_Forces!$F$2:$F$209,Hook_Bollard_Forces!$D$2:$D$209,"")</f>
        <v/>
      </c>
      <c r="S63" s="38" t="str" cm="1">
        <f t="array" ref="S63">_xlfn.XLOOKUP(SUMMARY!$N63&amp;"|"&amp;SUMMARY!$O63,Hook_Bollard_Forces!$C$2:$C$209&amp;"|"&amp;Hook_Bollard_Forces!$F$2:$F$209,Hook_Bollard_Forces!$E$2:$E$209,"")</f>
        <v/>
      </c>
      <c r="T63" s="38" t="str" cm="1">
        <f t="array" ref="T63">_xlfn.XLOOKUP(SUMMARY!$N63&amp;"|"&amp;SUMMARY!$O63,Hook_Bollard_Forces!$C$2:$C$209&amp;"|"&amp;Hook_Bollard_Forces!$F$2:$F$209,Hook_Bollard_Forces!$H$2:$H$209,"")</f>
        <v/>
      </c>
      <c r="U63" s="38" t="str" cm="1">
        <f t="array" ref="U63">_xlfn.XLOOKUP(SUMMARY!$N63&amp;"|"&amp;SUMMARY!$O63,Hook_Bollard_Forces!$C$2:$C$209&amp;"|"&amp;Hook_Bollard_Forces!$F$2:$F$209,Hook_Bollard_Forces!$I$2:$I$209,"")</f>
        <v/>
      </c>
      <c r="V63" s="38" t="str">
        <f>_xlfn.XLOOKUP(SUMMARY!$Q63,Cases!$B$2:$B$5,Cases!$C$2:$C$5,"")</f>
        <v/>
      </c>
      <c r="W63" s="38" t="str">
        <f>_xlfn.XLOOKUP(SUMMARY!$Q63,Cases!$B$2:$B$5,Cases!$D$2:$D$5,"")</f>
        <v/>
      </c>
    </row>
    <row r="64" spans="2:23" x14ac:dyDescent="0.25">
      <c r="M64" s="30">
        <f t="shared" si="3"/>
        <v>47</v>
      </c>
      <c r="N64" s="34"/>
      <c r="O64" s="34" t="str">
        <f>IF(_xlfn.MAXIFS(Hook_Bollard_Forces!$F$2:$F$5000,Hook_Bollard_Forces!$C$2:$C$5000,SUBSTITUTE(SUMMARY!$N64,"*","~*"))&gt;0,_xlfn.MAXIFS(Hook_Bollard_Forces!$F$2:$F$5000,Hook_Bollard_Forces!$C$2:$C$5000,SUBSTITUTE(SUMMARY!$N64,"*","~*")),"")</f>
        <v/>
      </c>
      <c r="P64" s="37" t="str" cm="1">
        <f t="array" ref="P64">_xlfn.XLOOKUP(SUMMARY!$N64&amp;"|"&amp;SUMMARY!$O64,Hook_Bollard_Forces!$C$2:$C$209&amp;"|"&amp;Hook_Bollard_Forces!$F$2:$F$209,Hook_Bollard_Forces!$G$2:$G$209,"")</f>
        <v/>
      </c>
      <c r="Q64" s="34" t="str" cm="1">
        <f t="array" ref="Q64">_xlfn.XLOOKUP(SUMMARY!$N64&amp;"|"&amp;SUMMARY!$O64,Hook_Bollard_Forces!$C$2:$C$209&amp;"|"&amp;Hook_Bollard_Forces!$F$2:$F$209,Hook_Bollard_Forces!$B$2:$B$209,"")</f>
        <v/>
      </c>
      <c r="R64" s="38" t="str" cm="1">
        <f t="array" ref="R64">_xlfn.XLOOKUP(SUMMARY!$N64&amp;"|"&amp;SUMMARY!$O64,Hook_Bollard_Forces!$C$2:$C$209&amp;"|"&amp;Hook_Bollard_Forces!$F$2:$F$209,Hook_Bollard_Forces!$D$2:$D$209,"")</f>
        <v/>
      </c>
      <c r="S64" s="38" t="str" cm="1">
        <f t="array" ref="S64">_xlfn.XLOOKUP(SUMMARY!$N64&amp;"|"&amp;SUMMARY!$O64,Hook_Bollard_Forces!$C$2:$C$209&amp;"|"&amp;Hook_Bollard_Forces!$F$2:$F$209,Hook_Bollard_Forces!$E$2:$E$209,"")</f>
        <v/>
      </c>
      <c r="T64" s="38" t="str" cm="1">
        <f t="array" ref="T64">_xlfn.XLOOKUP(SUMMARY!$N64&amp;"|"&amp;SUMMARY!$O64,Hook_Bollard_Forces!$C$2:$C$209&amp;"|"&amp;Hook_Bollard_Forces!$F$2:$F$209,Hook_Bollard_Forces!$H$2:$H$209,"")</f>
        <v/>
      </c>
      <c r="U64" s="38" t="str" cm="1">
        <f t="array" ref="U64">_xlfn.XLOOKUP(SUMMARY!$N64&amp;"|"&amp;SUMMARY!$O64,Hook_Bollard_Forces!$C$2:$C$209&amp;"|"&amp;Hook_Bollard_Forces!$F$2:$F$209,Hook_Bollard_Forces!$I$2:$I$209,"")</f>
        <v/>
      </c>
      <c r="V64" s="38" t="str">
        <f>_xlfn.XLOOKUP(SUMMARY!$Q64,Cases!$B$2:$B$5,Cases!$C$2:$C$5,"")</f>
        <v/>
      </c>
      <c r="W64" s="38" t="str">
        <f>_xlfn.XLOOKUP(SUMMARY!$Q64,Cases!$B$2:$B$5,Cases!$D$2:$D$5,"")</f>
        <v/>
      </c>
    </row>
    <row r="65" spans="13:23" x14ac:dyDescent="0.25">
      <c r="M65" s="30">
        <f t="shared" si="3"/>
        <v>48</v>
      </c>
      <c r="N65" s="34"/>
      <c r="O65" s="34" t="str">
        <f>IF(_xlfn.MAXIFS(Hook_Bollard_Forces!$F$2:$F$5000,Hook_Bollard_Forces!$C$2:$C$5000,SUBSTITUTE(SUMMARY!$N65,"*","~*"))&gt;0,_xlfn.MAXIFS(Hook_Bollard_Forces!$F$2:$F$5000,Hook_Bollard_Forces!$C$2:$C$5000,SUBSTITUTE(SUMMARY!$N65,"*","~*")),"")</f>
        <v/>
      </c>
      <c r="P65" s="37" t="str" cm="1">
        <f t="array" ref="P65">_xlfn.XLOOKUP(SUMMARY!$N65&amp;"|"&amp;SUMMARY!$O65,Hook_Bollard_Forces!$C$2:$C$209&amp;"|"&amp;Hook_Bollard_Forces!$F$2:$F$209,Hook_Bollard_Forces!$G$2:$G$209,"")</f>
        <v/>
      </c>
      <c r="Q65" s="34" t="str" cm="1">
        <f t="array" ref="Q65">_xlfn.XLOOKUP(SUMMARY!$N65&amp;"|"&amp;SUMMARY!$O65,Hook_Bollard_Forces!$C$2:$C$209&amp;"|"&amp;Hook_Bollard_Forces!$F$2:$F$209,Hook_Bollard_Forces!$B$2:$B$209,"")</f>
        <v/>
      </c>
      <c r="R65" s="38" t="str" cm="1">
        <f t="array" ref="R65">_xlfn.XLOOKUP(SUMMARY!$N65&amp;"|"&amp;SUMMARY!$O65,Hook_Bollard_Forces!$C$2:$C$209&amp;"|"&amp;Hook_Bollard_Forces!$F$2:$F$209,Hook_Bollard_Forces!$D$2:$D$209,"")</f>
        <v/>
      </c>
      <c r="S65" s="38" t="str" cm="1">
        <f t="array" ref="S65">_xlfn.XLOOKUP(SUMMARY!$N65&amp;"|"&amp;SUMMARY!$O65,Hook_Bollard_Forces!$C$2:$C$209&amp;"|"&amp;Hook_Bollard_Forces!$F$2:$F$209,Hook_Bollard_Forces!$E$2:$E$209,"")</f>
        <v/>
      </c>
      <c r="T65" s="38" t="str" cm="1">
        <f t="array" ref="T65">_xlfn.XLOOKUP(SUMMARY!$N65&amp;"|"&amp;SUMMARY!$O65,Hook_Bollard_Forces!$C$2:$C$209&amp;"|"&amp;Hook_Bollard_Forces!$F$2:$F$209,Hook_Bollard_Forces!$H$2:$H$209,"")</f>
        <v/>
      </c>
      <c r="U65" s="38" t="str" cm="1">
        <f t="array" ref="U65">_xlfn.XLOOKUP(SUMMARY!$N65&amp;"|"&amp;SUMMARY!$O65,Hook_Bollard_Forces!$C$2:$C$209&amp;"|"&amp;Hook_Bollard_Forces!$F$2:$F$209,Hook_Bollard_Forces!$I$2:$I$209,"")</f>
        <v/>
      </c>
      <c r="V65" s="38" t="str">
        <f>_xlfn.XLOOKUP(SUMMARY!$Q65,Cases!$B$2:$B$5,Cases!$C$2:$C$5,"")</f>
        <v/>
      </c>
      <c r="W65" s="38" t="str">
        <f>_xlfn.XLOOKUP(SUMMARY!$Q65,Cases!$B$2:$B$5,Cases!$D$2:$D$5,"")</f>
        <v/>
      </c>
    </row>
    <row r="66" spans="13:23" x14ac:dyDescent="0.25">
      <c r="M66" s="30">
        <f t="shared" si="3"/>
        <v>49</v>
      </c>
      <c r="N66" s="34"/>
      <c r="O66" s="34" t="str">
        <f>IF(_xlfn.MAXIFS(Hook_Bollard_Forces!$F$2:$F$5000,Hook_Bollard_Forces!$C$2:$C$5000,SUBSTITUTE(SUMMARY!$N66,"*","~*"))&gt;0,_xlfn.MAXIFS(Hook_Bollard_Forces!$F$2:$F$5000,Hook_Bollard_Forces!$C$2:$C$5000,SUBSTITUTE(SUMMARY!$N66,"*","~*")),"")</f>
        <v/>
      </c>
      <c r="P66" s="37" t="str" cm="1">
        <f t="array" ref="P66">_xlfn.XLOOKUP(SUMMARY!$N66&amp;"|"&amp;SUMMARY!$O66,Hook_Bollard_Forces!$C$2:$C$209&amp;"|"&amp;Hook_Bollard_Forces!$F$2:$F$209,Hook_Bollard_Forces!$G$2:$G$209,"")</f>
        <v/>
      </c>
      <c r="Q66" s="34" t="str" cm="1">
        <f t="array" ref="Q66">_xlfn.XLOOKUP(SUMMARY!$N66&amp;"|"&amp;SUMMARY!$O66,Hook_Bollard_Forces!$C$2:$C$209&amp;"|"&amp;Hook_Bollard_Forces!$F$2:$F$209,Hook_Bollard_Forces!$B$2:$B$209,"")</f>
        <v/>
      </c>
      <c r="R66" s="38" t="str" cm="1">
        <f t="array" ref="R66">_xlfn.XLOOKUP(SUMMARY!$N66&amp;"|"&amp;SUMMARY!$O66,Hook_Bollard_Forces!$C$2:$C$209&amp;"|"&amp;Hook_Bollard_Forces!$F$2:$F$209,Hook_Bollard_Forces!$D$2:$D$209,"")</f>
        <v/>
      </c>
      <c r="S66" s="38" t="str" cm="1">
        <f t="array" ref="S66">_xlfn.XLOOKUP(SUMMARY!$N66&amp;"|"&amp;SUMMARY!$O66,Hook_Bollard_Forces!$C$2:$C$209&amp;"|"&amp;Hook_Bollard_Forces!$F$2:$F$209,Hook_Bollard_Forces!$E$2:$E$209,"")</f>
        <v/>
      </c>
      <c r="T66" s="38" t="str" cm="1">
        <f t="array" ref="T66">_xlfn.XLOOKUP(SUMMARY!$N66&amp;"|"&amp;SUMMARY!$O66,Hook_Bollard_Forces!$C$2:$C$209&amp;"|"&amp;Hook_Bollard_Forces!$F$2:$F$209,Hook_Bollard_Forces!$H$2:$H$209,"")</f>
        <v/>
      </c>
      <c r="U66" s="38" t="str" cm="1">
        <f t="array" ref="U66">_xlfn.XLOOKUP(SUMMARY!$N66&amp;"|"&amp;SUMMARY!$O66,Hook_Bollard_Forces!$C$2:$C$209&amp;"|"&amp;Hook_Bollard_Forces!$F$2:$F$209,Hook_Bollard_Forces!$I$2:$I$209,"")</f>
        <v/>
      </c>
      <c r="V66" s="38" t="str">
        <f>_xlfn.XLOOKUP(SUMMARY!$Q66,Cases!$B$2:$B$5,Cases!$C$2:$C$5,"")</f>
        <v/>
      </c>
      <c r="W66" s="38" t="str">
        <f>_xlfn.XLOOKUP(SUMMARY!$Q66,Cases!$B$2:$B$5,Cases!$D$2:$D$5,"")</f>
        <v/>
      </c>
    </row>
    <row r="67" spans="13:23" x14ac:dyDescent="0.25">
      <c r="M67" s="30">
        <f t="shared" si="3"/>
        <v>50</v>
      </c>
      <c r="N67" s="34"/>
      <c r="O67" s="34" t="str">
        <f>IF(_xlfn.MAXIFS(Hook_Bollard_Forces!$F$2:$F$5000,Hook_Bollard_Forces!$C$2:$C$5000,SUBSTITUTE(SUMMARY!$N67,"*","~*"))&gt;0,_xlfn.MAXIFS(Hook_Bollard_Forces!$F$2:$F$5000,Hook_Bollard_Forces!$C$2:$C$5000,SUBSTITUTE(SUMMARY!$N67,"*","~*")),"")</f>
        <v/>
      </c>
      <c r="P67" s="37" t="str" cm="1">
        <f t="array" ref="P67">_xlfn.XLOOKUP(SUMMARY!$N67&amp;"|"&amp;SUMMARY!$O67,Hook_Bollard_Forces!$C$2:$C$209&amp;"|"&amp;Hook_Bollard_Forces!$F$2:$F$209,Hook_Bollard_Forces!$G$2:$G$209,"")</f>
        <v/>
      </c>
      <c r="Q67" s="34" t="str" cm="1">
        <f t="array" ref="Q67">_xlfn.XLOOKUP(SUMMARY!$N67&amp;"|"&amp;SUMMARY!$O67,Hook_Bollard_Forces!$C$2:$C$209&amp;"|"&amp;Hook_Bollard_Forces!$F$2:$F$209,Hook_Bollard_Forces!$B$2:$B$209,"")</f>
        <v/>
      </c>
      <c r="R67" s="38" t="str" cm="1">
        <f t="array" ref="R67">_xlfn.XLOOKUP(SUMMARY!$N67&amp;"|"&amp;SUMMARY!$O67,Hook_Bollard_Forces!$C$2:$C$209&amp;"|"&amp;Hook_Bollard_Forces!$F$2:$F$209,Hook_Bollard_Forces!$D$2:$D$209,"")</f>
        <v/>
      </c>
      <c r="S67" s="38" t="str" cm="1">
        <f t="array" ref="S67">_xlfn.XLOOKUP(SUMMARY!$N67&amp;"|"&amp;SUMMARY!$O67,Hook_Bollard_Forces!$C$2:$C$209&amp;"|"&amp;Hook_Bollard_Forces!$F$2:$F$209,Hook_Bollard_Forces!$E$2:$E$209,"")</f>
        <v/>
      </c>
      <c r="T67" s="38" t="str" cm="1">
        <f t="array" ref="T67">_xlfn.XLOOKUP(SUMMARY!$N67&amp;"|"&amp;SUMMARY!$O67,Hook_Bollard_Forces!$C$2:$C$209&amp;"|"&amp;Hook_Bollard_Forces!$F$2:$F$209,Hook_Bollard_Forces!$H$2:$H$209,"")</f>
        <v/>
      </c>
      <c r="U67" s="38" t="str" cm="1">
        <f t="array" ref="U67">_xlfn.XLOOKUP(SUMMARY!$N67&amp;"|"&amp;SUMMARY!$O67,Hook_Bollard_Forces!$C$2:$C$209&amp;"|"&amp;Hook_Bollard_Forces!$F$2:$F$209,Hook_Bollard_Forces!$I$2:$I$209,"")</f>
        <v/>
      </c>
      <c r="V67" s="38" t="str">
        <f>_xlfn.XLOOKUP(SUMMARY!$Q67,Cases!$B$2:$B$5,Cases!$C$2:$C$5,"")</f>
        <v/>
      </c>
      <c r="W67" s="38" t="str">
        <f>_xlfn.XLOOKUP(SUMMARY!$Q67,Cases!$B$2:$B$5,Cases!$D$2:$D$5,"")</f>
        <v/>
      </c>
    </row>
    <row r="103" spans="2:11" x14ac:dyDescent="0.25">
      <c r="B103" s="19"/>
      <c r="C103" s="20"/>
      <c r="D103" s="21"/>
      <c r="E103" s="22"/>
      <c r="F103" s="20"/>
      <c r="G103" s="20"/>
      <c r="H103" s="20"/>
      <c r="I103" s="20"/>
      <c r="J103" s="20"/>
      <c r="K103" s="23"/>
    </row>
  </sheetData>
  <mergeCells count="3">
    <mergeCell ref="M1:O6"/>
    <mergeCell ref="B1:K1"/>
    <mergeCell ref="B2:K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80"/>
  </sheetPr>
  <dimension ref="A1:J5"/>
  <sheetViews>
    <sheetView tabSelected="1" workbookViewId="0">
      <selection activeCell="H17" sqref="H17"/>
    </sheetView>
  </sheetViews>
  <sheetFormatPr defaultRowHeight="15" x14ac:dyDescent="0.25"/>
  <cols>
    <col min="1" max="1" width="32" customWidth="1"/>
    <col min="2" max="2" width="9.140625" style="8"/>
    <col min="3" max="3" width="14.28515625" style="8" customWidth="1"/>
    <col min="4" max="4" width="12.140625" style="8" customWidth="1"/>
    <col min="5" max="5" width="13.7109375" style="8" customWidth="1"/>
    <col min="6" max="7" width="9.140625" style="8"/>
    <col min="8" max="8" width="16" style="8" customWidth="1"/>
    <col min="9" max="9" width="28.140625" style="8" customWidth="1"/>
    <col min="10" max="10" width="20.28515625" style="8" customWidth="1"/>
  </cols>
  <sheetData>
    <row r="1" spans="1:10" x14ac:dyDescent="0.25">
      <c r="A1" s="1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</row>
    <row r="2" spans="1:10" x14ac:dyDescent="0.25">
      <c r="A2" t="s">
        <v>10</v>
      </c>
      <c r="B2" s="8">
        <v>1</v>
      </c>
      <c r="C2" s="8">
        <v>4</v>
      </c>
      <c r="D2" s="8">
        <v>16</v>
      </c>
      <c r="E2" s="8">
        <v>46</v>
      </c>
      <c r="F2" s="8">
        <v>0.5</v>
      </c>
      <c r="G2" s="8">
        <v>0</v>
      </c>
      <c r="H2" s="8">
        <v>4.5</v>
      </c>
      <c r="I2" s="8" t="s">
        <v>11</v>
      </c>
      <c r="J2" s="8" t="s">
        <v>12</v>
      </c>
    </row>
    <row r="3" spans="1:10" x14ac:dyDescent="0.25">
      <c r="A3" t="s">
        <v>10</v>
      </c>
      <c r="B3" s="8">
        <v>2</v>
      </c>
      <c r="C3" s="8">
        <v>0.57999999999999996</v>
      </c>
      <c r="D3" s="8">
        <v>16</v>
      </c>
      <c r="E3" s="8">
        <v>46</v>
      </c>
      <c r="F3" s="8">
        <v>0.5</v>
      </c>
      <c r="G3" s="8">
        <v>0</v>
      </c>
      <c r="H3" s="8">
        <v>1.08</v>
      </c>
      <c r="I3" s="8" t="s">
        <v>11</v>
      </c>
      <c r="J3" s="8" t="s">
        <v>12</v>
      </c>
    </row>
    <row r="4" spans="1:10" x14ac:dyDescent="0.25">
      <c r="A4" t="s">
        <v>10</v>
      </c>
      <c r="B4" s="8">
        <v>3</v>
      </c>
      <c r="C4" s="8">
        <v>4</v>
      </c>
      <c r="D4" s="8">
        <v>14.5</v>
      </c>
      <c r="E4" s="8">
        <v>46</v>
      </c>
      <c r="F4" s="8">
        <v>0.5</v>
      </c>
      <c r="G4" s="8">
        <v>0</v>
      </c>
      <c r="H4" s="8">
        <v>6</v>
      </c>
      <c r="I4" s="8" t="s">
        <v>11</v>
      </c>
      <c r="J4" s="8" t="s">
        <v>12</v>
      </c>
    </row>
    <row r="5" spans="1:10" x14ac:dyDescent="0.25">
      <c r="A5" t="s">
        <v>10</v>
      </c>
      <c r="B5" s="8">
        <v>4</v>
      </c>
      <c r="C5" s="8">
        <v>0.57999999999999996</v>
      </c>
      <c r="D5" s="8">
        <v>14.5</v>
      </c>
      <c r="E5" s="8">
        <v>46</v>
      </c>
      <c r="F5" s="8">
        <v>0.5</v>
      </c>
      <c r="G5" s="8">
        <v>0</v>
      </c>
      <c r="H5" s="8">
        <v>2.58</v>
      </c>
      <c r="I5" s="8" t="s">
        <v>11</v>
      </c>
      <c r="J5" s="8" t="s">
        <v>12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13"/>
  <sheetViews>
    <sheetView workbookViewId="0">
      <selection activeCell="F2" sqref="F2"/>
    </sheetView>
  </sheetViews>
  <sheetFormatPr defaultRowHeight="15" x14ac:dyDescent="0.25"/>
  <sheetData>
    <row r="1" spans="1:7" x14ac:dyDescent="0.25">
      <c r="A1" s="1" t="s">
        <v>0</v>
      </c>
      <c r="B1" s="1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</row>
    <row r="2" spans="1:7" x14ac:dyDescent="0.25">
      <c r="A2" t="s">
        <v>10</v>
      </c>
      <c r="B2">
        <v>1</v>
      </c>
      <c r="C2" t="s">
        <v>18</v>
      </c>
      <c r="D2">
        <v>45</v>
      </c>
      <c r="E2">
        <v>0.03</v>
      </c>
      <c r="F2">
        <v>2.5</v>
      </c>
      <c r="G2" s="2">
        <v>1</v>
      </c>
    </row>
    <row r="3" spans="1:7" x14ac:dyDescent="0.25">
      <c r="A3" t="s">
        <v>10</v>
      </c>
      <c r="B3">
        <v>1</v>
      </c>
      <c r="C3" t="s">
        <v>19</v>
      </c>
      <c r="D3">
        <v>42</v>
      </c>
      <c r="E3">
        <v>0.03</v>
      </c>
      <c r="F3">
        <v>2.2999999999999998</v>
      </c>
      <c r="G3" s="2">
        <v>1</v>
      </c>
    </row>
    <row r="4" spans="1:7" x14ac:dyDescent="0.25">
      <c r="A4" t="s">
        <v>10</v>
      </c>
      <c r="B4">
        <v>1</v>
      </c>
      <c r="C4" t="s">
        <v>20</v>
      </c>
      <c r="D4">
        <v>39</v>
      </c>
      <c r="E4">
        <v>0.03</v>
      </c>
      <c r="F4">
        <v>2.1</v>
      </c>
      <c r="G4" s="2">
        <v>1</v>
      </c>
    </row>
    <row r="5" spans="1:7" x14ac:dyDescent="0.25">
      <c r="A5" t="s">
        <v>10</v>
      </c>
      <c r="B5">
        <v>1</v>
      </c>
      <c r="C5" t="s">
        <v>21</v>
      </c>
      <c r="D5">
        <v>35</v>
      </c>
      <c r="E5">
        <v>0.03</v>
      </c>
      <c r="F5">
        <v>2</v>
      </c>
      <c r="G5" s="2">
        <v>1</v>
      </c>
    </row>
    <row r="6" spans="1:7" x14ac:dyDescent="0.25">
      <c r="A6" t="s">
        <v>10</v>
      </c>
      <c r="B6">
        <v>1</v>
      </c>
      <c r="C6" t="s">
        <v>22</v>
      </c>
      <c r="D6">
        <v>32</v>
      </c>
      <c r="E6">
        <v>0.02</v>
      </c>
      <c r="F6">
        <v>1.8</v>
      </c>
      <c r="G6" s="2">
        <v>1</v>
      </c>
    </row>
    <row r="7" spans="1:7" x14ac:dyDescent="0.25">
      <c r="A7" t="s">
        <v>10</v>
      </c>
      <c r="B7">
        <v>1</v>
      </c>
      <c r="C7" t="s">
        <v>23</v>
      </c>
      <c r="D7">
        <v>29</v>
      </c>
      <c r="E7">
        <v>0.02</v>
      </c>
      <c r="F7">
        <v>1.6</v>
      </c>
      <c r="G7" s="2">
        <v>1</v>
      </c>
    </row>
    <row r="8" spans="1:7" x14ac:dyDescent="0.25">
      <c r="A8" t="s">
        <v>10</v>
      </c>
      <c r="B8">
        <v>1</v>
      </c>
      <c r="C8" t="s">
        <v>24</v>
      </c>
      <c r="D8">
        <v>27</v>
      </c>
      <c r="E8">
        <v>0.02</v>
      </c>
      <c r="F8">
        <v>1.5</v>
      </c>
      <c r="G8" s="2">
        <v>1</v>
      </c>
    </row>
    <row r="9" spans="1:7" x14ac:dyDescent="0.25">
      <c r="A9" t="s">
        <v>10</v>
      </c>
      <c r="B9">
        <v>1</v>
      </c>
      <c r="C9" t="s">
        <v>25</v>
      </c>
      <c r="D9">
        <v>28</v>
      </c>
      <c r="E9">
        <v>0.02</v>
      </c>
      <c r="F9">
        <v>1.6</v>
      </c>
      <c r="G9" s="2">
        <v>1</v>
      </c>
    </row>
    <row r="10" spans="1:7" x14ac:dyDescent="0.25">
      <c r="A10" t="s">
        <v>10</v>
      </c>
      <c r="B10">
        <v>1</v>
      </c>
      <c r="C10" t="s">
        <v>26</v>
      </c>
      <c r="D10">
        <v>31</v>
      </c>
      <c r="E10">
        <v>0.02</v>
      </c>
      <c r="F10">
        <v>1.7</v>
      </c>
      <c r="G10" s="2">
        <v>1</v>
      </c>
    </row>
    <row r="11" spans="1:7" x14ac:dyDescent="0.25">
      <c r="A11" t="s">
        <v>10</v>
      </c>
      <c r="B11">
        <v>1</v>
      </c>
      <c r="C11" t="s">
        <v>27</v>
      </c>
      <c r="D11">
        <v>34</v>
      </c>
      <c r="E11">
        <v>0.02</v>
      </c>
      <c r="F11">
        <v>1.9</v>
      </c>
      <c r="G11" s="2">
        <v>1</v>
      </c>
    </row>
    <row r="12" spans="1:7" x14ac:dyDescent="0.25">
      <c r="A12" t="s">
        <v>10</v>
      </c>
      <c r="B12">
        <v>1</v>
      </c>
      <c r="C12" t="s">
        <v>28</v>
      </c>
      <c r="D12">
        <v>37</v>
      </c>
      <c r="E12">
        <v>0.03</v>
      </c>
      <c r="F12">
        <v>2.1</v>
      </c>
      <c r="G12" s="2">
        <v>1</v>
      </c>
    </row>
    <row r="13" spans="1:7" x14ac:dyDescent="0.25">
      <c r="A13" t="s">
        <v>10</v>
      </c>
      <c r="B13">
        <v>1</v>
      </c>
      <c r="C13" t="s">
        <v>29</v>
      </c>
      <c r="D13">
        <v>40</v>
      </c>
      <c r="E13">
        <v>0.03</v>
      </c>
      <c r="F13">
        <v>2.2000000000000002</v>
      </c>
      <c r="G13" s="2">
        <v>1</v>
      </c>
    </row>
    <row r="14" spans="1:7" x14ac:dyDescent="0.25">
      <c r="A14" t="s">
        <v>10</v>
      </c>
      <c r="B14">
        <v>1</v>
      </c>
      <c r="C14" t="s">
        <v>30</v>
      </c>
      <c r="D14">
        <v>43</v>
      </c>
      <c r="E14">
        <v>0.03</v>
      </c>
      <c r="F14">
        <v>2.4</v>
      </c>
      <c r="G14" s="2">
        <v>1</v>
      </c>
    </row>
    <row r="15" spans="1:7" x14ac:dyDescent="0.25">
      <c r="A15" t="s">
        <v>10</v>
      </c>
      <c r="B15">
        <v>1</v>
      </c>
      <c r="C15" t="s">
        <v>31</v>
      </c>
      <c r="D15">
        <v>46</v>
      </c>
      <c r="E15">
        <v>0.03</v>
      </c>
      <c r="F15">
        <v>2.6</v>
      </c>
      <c r="G15" s="2">
        <v>1</v>
      </c>
    </row>
    <row r="16" spans="1:7" x14ac:dyDescent="0.25">
      <c r="A16" t="s">
        <v>10</v>
      </c>
      <c r="B16">
        <v>2</v>
      </c>
      <c r="C16" t="s">
        <v>18</v>
      </c>
      <c r="D16">
        <v>41</v>
      </c>
      <c r="E16">
        <v>0.03</v>
      </c>
      <c r="F16">
        <v>2.2999999999999998</v>
      </c>
      <c r="G16" s="2">
        <v>1</v>
      </c>
    </row>
    <row r="17" spans="1:7" x14ac:dyDescent="0.25">
      <c r="A17" t="s">
        <v>10</v>
      </c>
      <c r="B17">
        <v>2</v>
      </c>
      <c r="C17" t="s">
        <v>19</v>
      </c>
      <c r="D17">
        <v>38</v>
      </c>
      <c r="E17">
        <v>0.03</v>
      </c>
      <c r="F17">
        <v>2.1</v>
      </c>
      <c r="G17" s="2">
        <v>1</v>
      </c>
    </row>
    <row r="18" spans="1:7" x14ac:dyDescent="0.25">
      <c r="A18" t="s">
        <v>10</v>
      </c>
      <c r="B18">
        <v>2</v>
      </c>
      <c r="C18" t="s">
        <v>20</v>
      </c>
      <c r="D18">
        <v>36</v>
      </c>
      <c r="E18">
        <v>0.03</v>
      </c>
      <c r="F18">
        <v>2</v>
      </c>
      <c r="G18" s="2">
        <v>1</v>
      </c>
    </row>
    <row r="19" spans="1:7" x14ac:dyDescent="0.25">
      <c r="A19" t="s">
        <v>10</v>
      </c>
      <c r="B19">
        <v>2</v>
      </c>
      <c r="C19" t="s">
        <v>21</v>
      </c>
      <c r="D19">
        <v>33</v>
      </c>
      <c r="E19">
        <v>0.02</v>
      </c>
      <c r="F19">
        <v>1.8</v>
      </c>
      <c r="G19" s="2">
        <v>1</v>
      </c>
    </row>
    <row r="20" spans="1:7" x14ac:dyDescent="0.25">
      <c r="A20" t="s">
        <v>10</v>
      </c>
      <c r="B20">
        <v>2</v>
      </c>
      <c r="C20" t="s">
        <v>22</v>
      </c>
      <c r="D20">
        <v>30</v>
      </c>
      <c r="E20">
        <v>0.02</v>
      </c>
      <c r="F20">
        <v>1.7</v>
      </c>
      <c r="G20" s="2">
        <v>1</v>
      </c>
    </row>
    <row r="21" spans="1:7" x14ac:dyDescent="0.25">
      <c r="A21" t="s">
        <v>10</v>
      </c>
      <c r="B21">
        <v>2</v>
      </c>
      <c r="C21" t="s">
        <v>23</v>
      </c>
      <c r="D21">
        <v>28</v>
      </c>
      <c r="E21">
        <v>0.02</v>
      </c>
      <c r="F21">
        <v>1.5</v>
      </c>
      <c r="G21" s="2">
        <v>1</v>
      </c>
    </row>
    <row r="22" spans="1:7" x14ac:dyDescent="0.25">
      <c r="A22" t="s">
        <v>10</v>
      </c>
      <c r="B22">
        <v>2</v>
      </c>
      <c r="C22" t="s">
        <v>24</v>
      </c>
      <c r="D22">
        <v>27</v>
      </c>
      <c r="E22">
        <v>0.02</v>
      </c>
      <c r="F22">
        <v>1.5</v>
      </c>
      <c r="G22" s="2">
        <v>1</v>
      </c>
    </row>
    <row r="23" spans="1:7" x14ac:dyDescent="0.25">
      <c r="A23" t="s">
        <v>10</v>
      </c>
      <c r="B23">
        <v>2</v>
      </c>
      <c r="C23" t="s">
        <v>25</v>
      </c>
      <c r="D23">
        <v>26</v>
      </c>
      <c r="E23">
        <v>0.02</v>
      </c>
      <c r="F23">
        <v>1.5</v>
      </c>
      <c r="G23" s="2">
        <v>1</v>
      </c>
    </row>
    <row r="24" spans="1:7" x14ac:dyDescent="0.25">
      <c r="A24" t="s">
        <v>10</v>
      </c>
      <c r="B24">
        <v>2</v>
      </c>
      <c r="C24" t="s">
        <v>26</v>
      </c>
      <c r="D24">
        <v>28</v>
      </c>
      <c r="E24">
        <v>0.02</v>
      </c>
      <c r="F24">
        <v>1.5</v>
      </c>
      <c r="G24" s="2">
        <v>1</v>
      </c>
    </row>
    <row r="25" spans="1:7" x14ac:dyDescent="0.25">
      <c r="A25" t="s">
        <v>10</v>
      </c>
      <c r="B25">
        <v>2</v>
      </c>
      <c r="C25" t="s">
        <v>27</v>
      </c>
      <c r="D25">
        <v>30</v>
      </c>
      <c r="E25">
        <v>0.02</v>
      </c>
      <c r="F25">
        <v>1.7</v>
      </c>
      <c r="G25" s="2">
        <v>1</v>
      </c>
    </row>
    <row r="26" spans="1:7" x14ac:dyDescent="0.25">
      <c r="A26" t="s">
        <v>10</v>
      </c>
      <c r="B26">
        <v>2</v>
      </c>
      <c r="C26" t="s">
        <v>28</v>
      </c>
      <c r="D26">
        <v>32</v>
      </c>
      <c r="E26">
        <v>0.02</v>
      </c>
      <c r="F26">
        <v>1.8</v>
      </c>
      <c r="G26" s="2">
        <v>1</v>
      </c>
    </row>
    <row r="27" spans="1:7" x14ac:dyDescent="0.25">
      <c r="A27" t="s">
        <v>10</v>
      </c>
      <c r="B27">
        <v>2</v>
      </c>
      <c r="C27" t="s">
        <v>29</v>
      </c>
      <c r="D27">
        <v>34</v>
      </c>
      <c r="E27">
        <v>0.03</v>
      </c>
      <c r="F27">
        <v>1.9</v>
      </c>
      <c r="G27" s="2">
        <v>1</v>
      </c>
    </row>
    <row r="28" spans="1:7" x14ac:dyDescent="0.25">
      <c r="A28" t="s">
        <v>10</v>
      </c>
      <c r="B28">
        <v>2</v>
      </c>
      <c r="C28" t="s">
        <v>30</v>
      </c>
      <c r="D28">
        <v>37</v>
      </c>
      <c r="E28">
        <v>0.03</v>
      </c>
      <c r="F28">
        <v>2</v>
      </c>
      <c r="G28" s="2">
        <v>1</v>
      </c>
    </row>
    <row r="29" spans="1:7" x14ac:dyDescent="0.25">
      <c r="A29" t="s">
        <v>10</v>
      </c>
      <c r="B29">
        <v>2</v>
      </c>
      <c r="C29" t="s">
        <v>31</v>
      </c>
      <c r="D29">
        <v>39</v>
      </c>
      <c r="E29">
        <v>0.03</v>
      </c>
      <c r="F29">
        <v>2.2000000000000002</v>
      </c>
      <c r="G29" s="2">
        <v>1</v>
      </c>
    </row>
    <row r="30" spans="1:7" x14ac:dyDescent="0.25">
      <c r="A30" t="s">
        <v>10</v>
      </c>
      <c r="B30">
        <v>3</v>
      </c>
      <c r="C30" t="s">
        <v>18</v>
      </c>
      <c r="D30">
        <v>60</v>
      </c>
      <c r="E30">
        <v>0.04</v>
      </c>
      <c r="F30">
        <v>3.4</v>
      </c>
      <c r="G30" s="2">
        <v>1</v>
      </c>
    </row>
    <row r="31" spans="1:7" x14ac:dyDescent="0.25">
      <c r="A31" t="s">
        <v>10</v>
      </c>
      <c r="B31">
        <v>3</v>
      </c>
      <c r="C31" t="s">
        <v>19</v>
      </c>
      <c r="D31">
        <v>56</v>
      </c>
      <c r="E31">
        <v>0.04</v>
      </c>
      <c r="F31">
        <v>3.1</v>
      </c>
      <c r="G31" s="2">
        <v>1</v>
      </c>
    </row>
    <row r="32" spans="1:7" x14ac:dyDescent="0.25">
      <c r="A32" t="s">
        <v>10</v>
      </c>
      <c r="B32">
        <v>3</v>
      </c>
      <c r="C32" t="s">
        <v>20</v>
      </c>
      <c r="D32">
        <v>52</v>
      </c>
      <c r="E32">
        <v>0.04</v>
      </c>
      <c r="F32">
        <v>2.9</v>
      </c>
      <c r="G32" s="2">
        <v>1</v>
      </c>
    </row>
    <row r="33" spans="1:7" x14ac:dyDescent="0.25">
      <c r="A33" t="s">
        <v>10</v>
      </c>
      <c r="B33">
        <v>3</v>
      </c>
      <c r="C33" t="s">
        <v>21</v>
      </c>
      <c r="D33">
        <v>47</v>
      </c>
      <c r="E33">
        <v>0.03</v>
      </c>
      <c r="F33">
        <v>2.6</v>
      </c>
      <c r="G33" s="2">
        <v>1</v>
      </c>
    </row>
    <row r="34" spans="1:7" x14ac:dyDescent="0.25">
      <c r="A34" t="s">
        <v>10</v>
      </c>
      <c r="B34">
        <v>3</v>
      </c>
      <c r="C34" t="s">
        <v>22</v>
      </c>
      <c r="D34">
        <v>43</v>
      </c>
      <c r="E34">
        <v>0.03</v>
      </c>
      <c r="F34">
        <v>2.4</v>
      </c>
      <c r="G34" s="2">
        <v>1</v>
      </c>
    </row>
    <row r="35" spans="1:7" x14ac:dyDescent="0.25">
      <c r="A35" t="s">
        <v>10</v>
      </c>
      <c r="B35">
        <v>3</v>
      </c>
      <c r="C35" t="s">
        <v>23</v>
      </c>
      <c r="D35">
        <v>39</v>
      </c>
      <c r="E35">
        <v>0.03</v>
      </c>
      <c r="F35">
        <v>2.2000000000000002</v>
      </c>
      <c r="G35" s="2">
        <v>1</v>
      </c>
    </row>
    <row r="36" spans="1:7" x14ac:dyDescent="0.25">
      <c r="A36" t="s">
        <v>10</v>
      </c>
      <c r="B36">
        <v>3</v>
      </c>
      <c r="C36" t="s">
        <v>24</v>
      </c>
      <c r="D36">
        <v>36</v>
      </c>
      <c r="E36">
        <v>0.03</v>
      </c>
      <c r="F36">
        <v>2</v>
      </c>
      <c r="G36" s="2">
        <v>1</v>
      </c>
    </row>
    <row r="37" spans="1:7" x14ac:dyDescent="0.25">
      <c r="A37" t="s">
        <v>10</v>
      </c>
      <c r="B37">
        <v>3</v>
      </c>
      <c r="C37" t="s">
        <v>25</v>
      </c>
      <c r="D37">
        <v>37</v>
      </c>
      <c r="E37">
        <v>0.03</v>
      </c>
      <c r="F37">
        <v>2</v>
      </c>
      <c r="G37" s="2">
        <v>1</v>
      </c>
    </row>
    <row r="38" spans="1:7" x14ac:dyDescent="0.25">
      <c r="A38" t="s">
        <v>10</v>
      </c>
      <c r="B38">
        <v>3</v>
      </c>
      <c r="C38" t="s">
        <v>26</v>
      </c>
      <c r="D38">
        <v>39</v>
      </c>
      <c r="E38">
        <v>0.03</v>
      </c>
      <c r="F38">
        <v>2.2000000000000002</v>
      </c>
      <c r="G38" s="2">
        <v>1</v>
      </c>
    </row>
    <row r="39" spans="1:7" x14ac:dyDescent="0.25">
      <c r="A39" t="s">
        <v>10</v>
      </c>
      <c r="B39">
        <v>3</v>
      </c>
      <c r="C39" t="s">
        <v>27</v>
      </c>
      <c r="D39">
        <v>42</v>
      </c>
      <c r="E39">
        <v>0.03</v>
      </c>
      <c r="F39">
        <v>2.2999999999999998</v>
      </c>
      <c r="G39" s="2">
        <v>1</v>
      </c>
    </row>
    <row r="40" spans="1:7" x14ac:dyDescent="0.25">
      <c r="A40" t="s">
        <v>10</v>
      </c>
      <c r="B40">
        <v>3</v>
      </c>
      <c r="C40" t="s">
        <v>28</v>
      </c>
      <c r="D40">
        <v>46</v>
      </c>
      <c r="E40">
        <v>0.03</v>
      </c>
      <c r="F40">
        <v>2.5</v>
      </c>
      <c r="G40" s="2">
        <v>1</v>
      </c>
    </row>
    <row r="41" spans="1:7" x14ac:dyDescent="0.25">
      <c r="A41" t="s">
        <v>10</v>
      </c>
      <c r="B41">
        <v>3</v>
      </c>
      <c r="C41" t="s">
        <v>29</v>
      </c>
      <c r="D41">
        <v>49</v>
      </c>
      <c r="E41">
        <v>0.04</v>
      </c>
      <c r="F41">
        <v>2.7</v>
      </c>
      <c r="G41" s="2">
        <v>1</v>
      </c>
    </row>
    <row r="42" spans="1:7" x14ac:dyDescent="0.25">
      <c r="A42" t="s">
        <v>10</v>
      </c>
      <c r="B42">
        <v>3</v>
      </c>
      <c r="C42" t="s">
        <v>30</v>
      </c>
      <c r="D42">
        <v>52</v>
      </c>
      <c r="E42">
        <v>0.04</v>
      </c>
      <c r="F42">
        <v>2.9</v>
      </c>
      <c r="G42" s="2">
        <v>1</v>
      </c>
    </row>
    <row r="43" spans="1:7" x14ac:dyDescent="0.25">
      <c r="A43" t="s">
        <v>10</v>
      </c>
      <c r="B43">
        <v>3</v>
      </c>
      <c r="C43" t="s">
        <v>31</v>
      </c>
      <c r="D43">
        <v>55</v>
      </c>
      <c r="E43">
        <v>0.04</v>
      </c>
      <c r="F43">
        <v>3.1</v>
      </c>
      <c r="G43" s="2">
        <v>1</v>
      </c>
    </row>
    <row r="44" spans="1:7" x14ac:dyDescent="0.25">
      <c r="A44" t="s">
        <v>10</v>
      </c>
      <c r="B44">
        <v>4</v>
      </c>
      <c r="C44" t="s">
        <v>18</v>
      </c>
      <c r="D44">
        <v>44</v>
      </c>
      <c r="E44">
        <v>0.03</v>
      </c>
      <c r="F44">
        <v>2.4</v>
      </c>
      <c r="G44" s="2">
        <v>1</v>
      </c>
    </row>
    <row r="45" spans="1:7" x14ac:dyDescent="0.25">
      <c r="A45" t="s">
        <v>10</v>
      </c>
      <c r="B45">
        <v>4</v>
      </c>
      <c r="C45" t="s">
        <v>19</v>
      </c>
      <c r="D45">
        <v>41</v>
      </c>
      <c r="E45">
        <v>0.03</v>
      </c>
      <c r="F45">
        <v>2.2999999999999998</v>
      </c>
      <c r="G45" s="2">
        <v>1</v>
      </c>
    </row>
    <row r="46" spans="1:7" x14ac:dyDescent="0.25">
      <c r="A46" t="s">
        <v>10</v>
      </c>
      <c r="B46">
        <v>4</v>
      </c>
      <c r="C46" t="s">
        <v>20</v>
      </c>
      <c r="D46">
        <v>38</v>
      </c>
      <c r="E46">
        <v>0.03</v>
      </c>
      <c r="F46">
        <v>2.1</v>
      </c>
      <c r="G46" s="2">
        <v>1</v>
      </c>
    </row>
    <row r="47" spans="1:7" x14ac:dyDescent="0.25">
      <c r="A47" t="s">
        <v>10</v>
      </c>
      <c r="B47">
        <v>4</v>
      </c>
      <c r="C47" t="s">
        <v>21</v>
      </c>
      <c r="D47">
        <v>35</v>
      </c>
      <c r="E47">
        <v>0.03</v>
      </c>
      <c r="F47">
        <v>1.9</v>
      </c>
      <c r="G47" s="2">
        <v>1</v>
      </c>
    </row>
    <row r="48" spans="1:7" x14ac:dyDescent="0.25">
      <c r="A48" t="s">
        <v>10</v>
      </c>
      <c r="B48">
        <v>4</v>
      </c>
      <c r="C48" t="s">
        <v>22</v>
      </c>
      <c r="D48">
        <v>32</v>
      </c>
      <c r="E48">
        <v>0.02</v>
      </c>
      <c r="F48">
        <v>1.8</v>
      </c>
      <c r="G48" s="2">
        <v>1</v>
      </c>
    </row>
    <row r="49" spans="1:7" x14ac:dyDescent="0.25">
      <c r="A49" t="s">
        <v>10</v>
      </c>
      <c r="B49">
        <v>4</v>
      </c>
      <c r="C49" t="s">
        <v>23</v>
      </c>
      <c r="D49">
        <v>30</v>
      </c>
      <c r="E49">
        <v>0.02</v>
      </c>
      <c r="F49">
        <v>1.6</v>
      </c>
      <c r="G49" s="2">
        <v>1</v>
      </c>
    </row>
    <row r="50" spans="1:7" x14ac:dyDescent="0.25">
      <c r="A50" t="s">
        <v>10</v>
      </c>
      <c r="B50">
        <v>4</v>
      </c>
      <c r="C50" t="s">
        <v>24</v>
      </c>
      <c r="D50">
        <v>28</v>
      </c>
      <c r="E50">
        <v>0.02</v>
      </c>
      <c r="F50">
        <v>1.6</v>
      </c>
      <c r="G50" s="2">
        <v>1</v>
      </c>
    </row>
    <row r="51" spans="1:7" x14ac:dyDescent="0.25">
      <c r="A51" t="s">
        <v>10</v>
      </c>
      <c r="B51">
        <v>4</v>
      </c>
      <c r="C51" t="s">
        <v>25</v>
      </c>
      <c r="D51">
        <v>28</v>
      </c>
      <c r="E51">
        <v>0.02</v>
      </c>
      <c r="F51">
        <v>1.6</v>
      </c>
      <c r="G51" s="2">
        <v>1</v>
      </c>
    </row>
    <row r="52" spans="1:7" x14ac:dyDescent="0.25">
      <c r="A52" t="s">
        <v>10</v>
      </c>
      <c r="B52">
        <v>4</v>
      </c>
      <c r="C52" t="s">
        <v>26</v>
      </c>
      <c r="D52">
        <v>30</v>
      </c>
      <c r="E52">
        <v>0.02</v>
      </c>
      <c r="F52">
        <v>1.7</v>
      </c>
      <c r="G52" s="2">
        <v>1</v>
      </c>
    </row>
    <row r="53" spans="1:7" x14ac:dyDescent="0.25">
      <c r="A53" t="s">
        <v>10</v>
      </c>
      <c r="B53">
        <v>4</v>
      </c>
      <c r="C53" t="s">
        <v>27</v>
      </c>
      <c r="D53">
        <v>33</v>
      </c>
      <c r="E53">
        <v>0.02</v>
      </c>
      <c r="F53">
        <v>1.8</v>
      </c>
      <c r="G53" s="2">
        <v>1</v>
      </c>
    </row>
    <row r="54" spans="1:7" x14ac:dyDescent="0.25">
      <c r="A54" t="s">
        <v>10</v>
      </c>
      <c r="B54">
        <v>4</v>
      </c>
      <c r="C54" t="s">
        <v>28</v>
      </c>
      <c r="D54">
        <v>35</v>
      </c>
      <c r="E54">
        <v>0.03</v>
      </c>
      <c r="F54">
        <v>2</v>
      </c>
      <c r="G54" s="2">
        <v>1</v>
      </c>
    </row>
    <row r="55" spans="1:7" x14ac:dyDescent="0.25">
      <c r="A55" t="s">
        <v>10</v>
      </c>
      <c r="B55">
        <v>4</v>
      </c>
      <c r="C55" t="s">
        <v>29</v>
      </c>
      <c r="D55">
        <v>38</v>
      </c>
      <c r="E55">
        <v>0.03</v>
      </c>
      <c r="F55">
        <v>2.1</v>
      </c>
      <c r="G55" s="2">
        <v>1</v>
      </c>
    </row>
    <row r="56" spans="1:7" x14ac:dyDescent="0.25">
      <c r="A56" t="s">
        <v>10</v>
      </c>
      <c r="B56">
        <v>4</v>
      </c>
      <c r="C56" t="s">
        <v>30</v>
      </c>
      <c r="D56">
        <v>40</v>
      </c>
      <c r="E56">
        <v>0.03</v>
      </c>
      <c r="F56">
        <v>2.2000000000000002</v>
      </c>
      <c r="G56" s="2">
        <v>1</v>
      </c>
    </row>
    <row r="57" spans="1:7" x14ac:dyDescent="0.25">
      <c r="A57" t="s">
        <v>10</v>
      </c>
      <c r="B57">
        <v>4</v>
      </c>
      <c r="C57" t="s">
        <v>31</v>
      </c>
      <c r="D57">
        <v>43</v>
      </c>
      <c r="E57">
        <v>0.03</v>
      </c>
      <c r="F57">
        <v>2.4</v>
      </c>
      <c r="G57" s="2">
        <v>1</v>
      </c>
    </row>
    <row r="58" spans="1:7" x14ac:dyDescent="0.25">
      <c r="G58" s="2"/>
    </row>
    <row r="59" spans="1:7" x14ac:dyDescent="0.25">
      <c r="G59" s="2"/>
    </row>
    <row r="60" spans="1:7" x14ac:dyDescent="0.25">
      <c r="G60" s="2"/>
    </row>
    <row r="61" spans="1:7" x14ac:dyDescent="0.25">
      <c r="G61" s="2"/>
    </row>
    <row r="62" spans="1:7" x14ac:dyDescent="0.25">
      <c r="G62" s="2"/>
    </row>
    <row r="63" spans="1:7" x14ac:dyDescent="0.25">
      <c r="G63" s="2"/>
    </row>
    <row r="64" spans="1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65"/>
  <sheetViews>
    <sheetView workbookViewId="0">
      <selection activeCell="D14" sqref="D14"/>
    </sheetView>
  </sheetViews>
  <sheetFormatPr defaultRowHeight="15" x14ac:dyDescent="0.25"/>
  <cols>
    <col min="1" max="1" width="30.42578125" bestFit="1" customWidth="1"/>
    <col min="5" max="5" width="15.140625" bestFit="1" customWidth="1"/>
    <col min="6" max="6" width="14.28515625" bestFit="1" customWidth="1"/>
    <col min="7" max="7" width="10.42578125" bestFit="1" customWidth="1"/>
    <col min="8" max="8" width="13.140625" customWidth="1"/>
  </cols>
  <sheetData>
    <row r="1" spans="1:11" ht="60" x14ac:dyDescent="0.25">
      <c r="A1" s="6" t="s">
        <v>0</v>
      </c>
      <c r="B1" s="6" t="s">
        <v>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6" t="s">
        <v>38</v>
      </c>
      <c r="J1" s="6" t="s">
        <v>39</v>
      </c>
      <c r="K1" s="6" t="s">
        <v>40</v>
      </c>
    </row>
    <row r="2" spans="1:11" x14ac:dyDescent="0.25">
      <c r="A2" t="s">
        <v>10</v>
      </c>
      <c r="B2">
        <v>1</v>
      </c>
      <c r="C2" t="s">
        <v>41</v>
      </c>
      <c r="D2">
        <v>0.46</v>
      </c>
      <c r="E2">
        <v>32.9</v>
      </c>
      <c r="H2">
        <v>-120</v>
      </c>
      <c r="I2">
        <v>60</v>
      </c>
      <c r="J2">
        <v>34.6</v>
      </c>
      <c r="K2" s="2">
        <v>0.26</v>
      </c>
    </row>
    <row r="3" spans="1:11" x14ac:dyDescent="0.25">
      <c r="A3" t="s">
        <v>10</v>
      </c>
      <c r="B3">
        <v>1</v>
      </c>
      <c r="C3" t="s">
        <v>42</v>
      </c>
      <c r="D3">
        <v>0.28999999999999998</v>
      </c>
      <c r="E3">
        <v>31</v>
      </c>
      <c r="H3">
        <v>-120</v>
      </c>
      <c r="I3">
        <v>60</v>
      </c>
      <c r="J3">
        <v>48.6</v>
      </c>
      <c r="K3" s="2">
        <v>0.28999999999999998</v>
      </c>
    </row>
    <row r="4" spans="1:11" x14ac:dyDescent="0.25">
      <c r="A4" t="s">
        <v>10</v>
      </c>
      <c r="B4">
        <v>1</v>
      </c>
      <c r="C4" t="s">
        <v>43</v>
      </c>
      <c r="D4">
        <v>0.28000000000000003</v>
      </c>
      <c r="E4">
        <v>29.8</v>
      </c>
      <c r="H4">
        <v>-120</v>
      </c>
      <c r="I4">
        <v>60</v>
      </c>
      <c r="J4">
        <v>47.2</v>
      </c>
      <c r="K4" s="2">
        <v>0.28000000000000003</v>
      </c>
    </row>
    <row r="5" spans="1:11" x14ac:dyDescent="0.25">
      <c r="A5" t="s">
        <v>10</v>
      </c>
      <c r="B5">
        <v>1</v>
      </c>
      <c r="C5" t="s">
        <v>44</v>
      </c>
      <c r="D5">
        <v>0.26</v>
      </c>
      <c r="E5">
        <v>28.2</v>
      </c>
      <c r="H5">
        <v>-120</v>
      </c>
      <c r="I5">
        <v>60</v>
      </c>
      <c r="J5">
        <v>44.4</v>
      </c>
      <c r="K5" s="2">
        <v>0.26</v>
      </c>
    </row>
    <row r="6" spans="1:11" x14ac:dyDescent="0.25">
      <c r="A6" t="s">
        <v>10</v>
      </c>
      <c r="B6">
        <v>1</v>
      </c>
      <c r="C6" t="s">
        <v>45</v>
      </c>
      <c r="D6">
        <v>0.32</v>
      </c>
      <c r="E6">
        <v>34.799999999999997</v>
      </c>
      <c r="H6">
        <v>-120</v>
      </c>
      <c r="I6">
        <v>60</v>
      </c>
      <c r="J6">
        <v>51.2</v>
      </c>
      <c r="K6" s="2">
        <v>0.3</v>
      </c>
    </row>
    <row r="7" spans="1:11" x14ac:dyDescent="0.25">
      <c r="A7" t="s">
        <v>10</v>
      </c>
      <c r="B7">
        <v>1</v>
      </c>
      <c r="C7" t="s">
        <v>46</v>
      </c>
      <c r="D7">
        <v>0.33</v>
      </c>
      <c r="E7">
        <v>36</v>
      </c>
      <c r="H7">
        <v>-120</v>
      </c>
      <c r="I7">
        <v>60</v>
      </c>
      <c r="J7">
        <v>51.5</v>
      </c>
      <c r="K7" s="2">
        <v>0.3</v>
      </c>
    </row>
    <row r="8" spans="1:11" x14ac:dyDescent="0.25">
      <c r="A8" t="s">
        <v>10</v>
      </c>
      <c r="B8">
        <v>1</v>
      </c>
      <c r="C8" t="s">
        <v>47</v>
      </c>
      <c r="D8">
        <v>0.43</v>
      </c>
      <c r="E8">
        <v>45.2</v>
      </c>
      <c r="H8">
        <v>30</v>
      </c>
      <c r="I8">
        <v>210</v>
      </c>
      <c r="J8">
        <v>18.7</v>
      </c>
      <c r="K8" s="2">
        <v>0.11</v>
      </c>
    </row>
    <row r="9" spans="1:11" x14ac:dyDescent="0.25">
      <c r="A9" t="s">
        <v>10</v>
      </c>
      <c r="B9">
        <v>1</v>
      </c>
      <c r="C9" t="s">
        <v>48</v>
      </c>
      <c r="D9">
        <v>0.35</v>
      </c>
      <c r="E9">
        <v>46.5</v>
      </c>
      <c r="H9">
        <v>30</v>
      </c>
      <c r="I9">
        <v>210</v>
      </c>
      <c r="J9">
        <v>18.899999999999999</v>
      </c>
      <c r="K9" s="2">
        <v>0.06</v>
      </c>
    </row>
    <row r="10" spans="1:11" x14ac:dyDescent="0.25">
      <c r="A10" t="s">
        <v>10</v>
      </c>
      <c r="B10">
        <v>1</v>
      </c>
      <c r="C10" t="s">
        <v>49</v>
      </c>
      <c r="D10">
        <v>0.19</v>
      </c>
      <c r="E10">
        <v>30.1</v>
      </c>
      <c r="H10">
        <v>150</v>
      </c>
      <c r="I10">
        <v>330</v>
      </c>
      <c r="J10">
        <v>28.3</v>
      </c>
      <c r="K10" s="2">
        <v>0.09</v>
      </c>
    </row>
    <row r="11" spans="1:11" x14ac:dyDescent="0.25">
      <c r="A11" t="s">
        <v>10</v>
      </c>
      <c r="B11">
        <v>1</v>
      </c>
      <c r="C11" t="s">
        <v>50</v>
      </c>
      <c r="D11">
        <v>0.18</v>
      </c>
      <c r="E11">
        <v>29.1</v>
      </c>
      <c r="H11">
        <v>150</v>
      </c>
      <c r="I11">
        <v>330</v>
      </c>
      <c r="J11">
        <v>26.5</v>
      </c>
      <c r="K11" s="2">
        <v>0.08</v>
      </c>
    </row>
    <row r="12" spans="1:11" x14ac:dyDescent="0.25">
      <c r="A12" t="s">
        <v>10</v>
      </c>
      <c r="B12">
        <v>1</v>
      </c>
      <c r="C12" t="s">
        <v>51</v>
      </c>
      <c r="D12">
        <v>0.38</v>
      </c>
      <c r="E12">
        <v>53</v>
      </c>
      <c r="H12">
        <v>-50</v>
      </c>
      <c r="I12">
        <v>130</v>
      </c>
      <c r="J12">
        <v>45.1</v>
      </c>
      <c r="K12" s="2">
        <v>0.14000000000000001</v>
      </c>
    </row>
    <row r="13" spans="1:11" x14ac:dyDescent="0.25">
      <c r="A13" t="s">
        <v>10</v>
      </c>
      <c r="B13">
        <v>1</v>
      </c>
      <c r="C13" t="s">
        <v>52</v>
      </c>
      <c r="D13">
        <v>0.37</v>
      </c>
      <c r="E13">
        <v>51.6</v>
      </c>
      <c r="H13">
        <v>-50</v>
      </c>
      <c r="I13">
        <v>130</v>
      </c>
      <c r="J13">
        <v>45.5</v>
      </c>
      <c r="K13" s="2">
        <v>0.14000000000000001</v>
      </c>
    </row>
    <row r="14" spans="1:11" x14ac:dyDescent="0.25">
      <c r="A14" t="s">
        <v>10</v>
      </c>
      <c r="B14">
        <v>1</v>
      </c>
      <c r="C14" t="s">
        <v>53</v>
      </c>
      <c r="D14">
        <v>0.36</v>
      </c>
      <c r="E14">
        <v>50.1</v>
      </c>
      <c r="H14">
        <v>-50</v>
      </c>
      <c r="I14">
        <v>130</v>
      </c>
      <c r="J14">
        <v>45.9</v>
      </c>
      <c r="K14" s="2">
        <v>0.14000000000000001</v>
      </c>
    </row>
    <row r="15" spans="1:11" x14ac:dyDescent="0.25">
      <c r="A15" t="s">
        <v>10</v>
      </c>
      <c r="B15">
        <v>1</v>
      </c>
      <c r="C15" t="s">
        <v>54</v>
      </c>
      <c r="D15">
        <v>0.23</v>
      </c>
      <c r="E15">
        <v>31.4</v>
      </c>
      <c r="H15">
        <v>-50</v>
      </c>
      <c r="I15">
        <v>130</v>
      </c>
      <c r="J15">
        <v>50.6</v>
      </c>
      <c r="K15" s="2">
        <v>0.16</v>
      </c>
    </row>
    <row r="16" spans="1:11" x14ac:dyDescent="0.25">
      <c r="A16" t="s">
        <v>10</v>
      </c>
      <c r="B16">
        <v>1</v>
      </c>
      <c r="C16" t="s">
        <v>55</v>
      </c>
      <c r="D16">
        <v>0.22</v>
      </c>
      <c r="E16">
        <v>30.3</v>
      </c>
      <c r="H16">
        <v>-50</v>
      </c>
      <c r="I16">
        <v>130</v>
      </c>
      <c r="J16">
        <v>47.5</v>
      </c>
      <c r="K16" s="2">
        <v>0.15</v>
      </c>
    </row>
    <row r="17" spans="1:11" x14ac:dyDescent="0.25">
      <c r="A17" t="s">
        <v>10</v>
      </c>
      <c r="B17">
        <v>1</v>
      </c>
      <c r="C17" t="s">
        <v>56</v>
      </c>
      <c r="D17">
        <v>0.21</v>
      </c>
      <c r="E17">
        <v>29.1</v>
      </c>
      <c r="H17">
        <v>-50</v>
      </c>
      <c r="I17">
        <v>130</v>
      </c>
      <c r="J17">
        <v>43.2</v>
      </c>
      <c r="K17" s="2">
        <v>0.13</v>
      </c>
    </row>
    <row r="18" spans="1:11" x14ac:dyDescent="0.25">
      <c r="A18" t="s">
        <v>10</v>
      </c>
      <c r="B18">
        <v>2</v>
      </c>
      <c r="C18" t="s">
        <v>41</v>
      </c>
      <c r="D18">
        <v>0.46</v>
      </c>
      <c r="E18">
        <v>32.9</v>
      </c>
      <c r="H18">
        <v>-120</v>
      </c>
      <c r="I18">
        <v>60</v>
      </c>
      <c r="J18">
        <v>36.1</v>
      </c>
      <c r="K18" s="2">
        <v>0.28000000000000003</v>
      </c>
    </row>
    <row r="19" spans="1:11" x14ac:dyDescent="0.25">
      <c r="A19" t="s">
        <v>10</v>
      </c>
      <c r="B19">
        <v>2</v>
      </c>
      <c r="C19" t="s">
        <v>42</v>
      </c>
      <c r="D19">
        <v>0.28999999999999998</v>
      </c>
      <c r="E19">
        <v>31</v>
      </c>
      <c r="H19">
        <v>-120</v>
      </c>
      <c r="I19">
        <v>60</v>
      </c>
      <c r="J19">
        <v>46.3</v>
      </c>
      <c r="K19" s="2">
        <v>0.27</v>
      </c>
    </row>
    <row r="20" spans="1:11" x14ac:dyDescent="0.25">
      <c r="A20" t="s">
        <v>10</v>
      </c>
      <c r="B20">
        <v>2</v>
      </c>
      <c r="C20" t="s">
        <v>43</v>
      </c>
      <c r="D20">
        <v>0.28000000000000003</v>
      </c>
      <c r="E20">
        <v>29.8</v>
      </c>
      <c r="H20">
        <v>-120</v>
      </c>
      <c r="I20">
        <v>60</v>
      </c>
      <c r="J20">
        <v>41.4</v>
      </c>
      <c r="K20" s="2">
        <v>0.24</v>
      </c>
    </row>
    <row r="21" spans="1:11" x14ac:dyDescent="0.25">
      <c r="A21" t="s">
        <v>10</v>
      </c>
      <c r="B21">
        <v>2</v>
      </c>
      <c r="C21" t="s">
        <v>44</v>
      </c>
      <c r="D21">
        <v>0.27</v>
      </c>
      <c r="E21">
        <v>28.2</v>
      </c>
      <c r="H21">
        <v>-120</v>
      </c>
      <c r="I21">
        <v>60</v>
      </c>
      <c r="J21">
        <v>33.299999999999997</v>
      </c>
      <c r="K21" s="2">
        <v>0.2</v>
      </c>
    </row>
    <row r="22" spans="1:11" x14ac:dyDescent="0.25">
      <c r="A22" t="s">
        <v>10</v>
      </c>
      <c r="B22">
        <v>2</v>
      </c>
      <c r="C22" t="s">
        <v>45</v>
      </c>
      <c r="D22">
        <v>0.32</v>
      </c>
      <c r="E22">
        <v>34.799999999999997</v>
      </c>
      <c r="H22">
        <v>-120</v>
      </c>
      <c r="I22">
        <v>60</v>
      </c>
      <c r="J22">
        <v>56.9</v>
      </c>
      <c r="K22" s="2">
        <v>0.33</v>
      </c>
    </row>
    <row r="23" spans="1:11" x14ac:dyDescent="0.25">
      <c r="A23" t="s">
        <v>10</v>
      </c>
      <c r="B23">
        <v>2</v>
      </c>
      <c r="C23" t="s">
        <v>46</v>
      </c>
      <c r="D23">
        <v>0.33</v>
      </c>
      <c r="E23">
        <v>36</v>
      </c>
      <c r="H23">
        <v>-120</v>
      </c>
      <c r="I23">
        <v>60</v>
      </c>
      <c r="J23">
        <v>59.2</v>
      </c>
      <c r="K23" s="2">
        <v>0.35</v>
      </c>
    </row>
    <row r="24" spans="1:11" x14ac:dyDescent="0.25">
      <c r="A24" t="s">
        <v>10</v>
      </c>
      <c r="B24">
        <v>2</v>
      </c>
      <c r="C24" t="s">
        <v>47</v>
      </c>
      <c r="D24">
        <v>0.42</v>
      </c>
      <c r="E24">
        <v>45.2</v>
      </c>
      <c r="H24">
        <v>30</v>
      </c>
      <c r="I24">
        <v>210</v>
      </c>
      <c r="J24">
        <v>22.5</v>
      </c>
      <c r="K24" s="2">
        <v>0.13</v>
      </c>
    </row>
    <row r="25" spans="1:11" x14ac:dyDescent="0.25">
      <c r="A25" t="s">
        <v>10</v>
      </c>
      <c r="B25">
        <v>2</v>
      </c>
      <c r="C25" t="s">
        <v>48</v>
      </c>
      <c r="D25">
        <v>0.35</v>
      </c>
      <c r="E25">
        <v>46.5</v>
      </c>
      <c r="H25">
        <v>30</v>
      </c>
      <c r="I25">
        <v>210</v>
      </c>
      <c r="J25">
        <v>24.4</v>
      </c>
      <c r="K25" s="2">
        <v>0.08</v>
      </c>
    </row>
    <row r="26" spans="1:11" x14ac:dyDescent="0.25">
      <c r="A26" t="s">
        <v>10</v>
      </c>
      <c r="B26">
        <v>2</v>
      </c>
      <c r="C26" t="s">
        <v>49</v>
      </c>
      <c r="D26">
        <v>0.19</v>
      </c>
      <c r="E26">
        <v>30.1</v>
      </c>
      <c r="H26">
        <v>150</v>
      </c>
      <c r="I26">
        <v>330</v>
      </c>
      <c r="J26">
        <v>30.7</v>
      </c>
      <c r="K26" s="2">
        <v>0.09</v>
      </c>
    </row>
    <row r="27" spans="1:11" x14ac:dyDescent="0.25">
      <c r="A27" t="s">
        <v>10</v>
      </c>
      <c r="B27">
        <v>2</v>
      </c>
      <c r="C27" t="s">
        <v>50</v>
      </c>
      <c r="D27">
        <v>0.18</v>
      </c>
      <c r="E27">
        <v>29.1</v>
      </c>
      <c r="H27">
        <v>150</v>
      </c>
      <c r="I27">
        <v>330</v>
      </c>
      <c r="J27">
        <v>24.8</v>
      </c>
      <c r="K27" s="2">
        <v>0.08</v>
      </c>
    </row>
    <row r="28" spans="1:11" x14ac:dyDescent="0.25">
      <c r="A28" t="s">
        <v>10</v>
      </c>
      <c r="B28">
        <v>2</v>
      </c>
      <c r="C28" t="s">
        <v>51</v>
      </c>
      <c r="D28">
        <v>0.38</v>
      </c>
      <c r="E28">
        <v>53</v>
      </c>
      <c r="H28">
        <v>-50</v>
      </c>
      <c r="I28">
        <v>130</v>
      </c>
      <c r="J28">
        <v>61.2</v>
      </c>
      <c r="K28" s="2">
        <v>0.19</v>
      </c>
    </row>
    <row r="29" spans="1:11" x14ac:dyDescent="0.25">
      <c r="A29" t="s">
        <v>10</v>
      </c>
      <c r="B29">
        <v>2</v>
      </c>
      <c r="C29" t="s">
        <v>52</v>
      </c>
      <c r="D29">
        <v>0.37</v>
      </c>
      <c r="E29">
        <v>51.6</v>
      </c>
      <c r="H29">
        <v>-50</v>
      </c>
      <c r="I29">
        <v>130</v>
      </c>
      <c r="J29">
        <v>61</v>
      </c>
      <c r="K29" s="2">
        <v>0.19</v>
      </c>
    </row>
    <row r="30" spans="1:11" x14ac:dyDescent="0.25">
      <c r="A30" t="s">
        <v>10</v>
      </c>
      <c r="B30">
        <v>2</v>
      </c>
      <c r="C30" t="s">
        <v>53</v>
      </c>
      <c r="D30">
        <v>0.36</v>
      </c>
      <c r="E30">
        <v>50.1</v>
      </c>
      <c r="H30">
        <v>-50</v>
      </c>
      <c r="I30">
        <v>130</v>
      </c>
      <c r="J30">
        <v>60.3</v>
      </c>
      <c r="K30" s="2">
        <v>0.19</v>
      </c>
    </row>
    <row r="31" spans="1:11" x14ac:dyDescent="0.25">
      <c r="A31" t="s">
        <v>10</v>
      </c>
      <c r="B31">
        <v>2</v>
      </c>
      <c r="C31" t="s">
        <v>54</v>
      </c>
      <c r="D31">
        <v>0.23</v>
      </c>
      <c r="E31">
        <v>31.4</v>
      </c>
      <c r="H31">
        <v>-50</v>
      </c>
      <c r="I31">
        <v>130</v>
      </c>
      <c r="J31">
        <v>40.9</v>
      </c>
      <c r="K31" s="2">
        <v>0.13</v>
      </c>
    </row>
    <row r="32" spans="1:11" x14ac:dyDescent="0.25">
      <c r="A32" t="s">
        <v>10</v>
      </c>
      <c r="B32">
        <v>2</v>
      </c>
      <c r="C32" t="s">
        <v>55</v>
      </c>
      <c r="D32">
        <v>0.22</v>
      </c>
      <c r="E32">
        <v>30.3</v>
      </c>
      <c r="H32">
        <v>-50</v>
      </c>
      <c r="I32">
        <v>130</v>
      </c>
      <c r="J32">
        <v>31.2</v>
      </c>
      <c r="K32" s="2">
        <v>0.1</v>
      </c>
    </row>
    <row r="33" spans="1:11" x14ac:dyDescent="0.25">
      <c r="A33" t="s">
        <v>10</v>
      </c>
      <c r="B33">
        <v>2</v>
      </c>
      <c r="C33" t="s">
        <v>56</v>
      </c>
      <c r="D33">
        <v>0.21</v>
      </c>
      <c r="E33">
        <v>29.1</v>
      </c>
      <c r="H33">
        <v>-50</v>
      </c>
      <c r="I33">
        <v>130</v>
      </c>
      <c r="J33">
        <v>19.2</v>
      </c>
      <c r="K33" s="2">
        <v>0.06</v>
      </c>
    </row>
    <row r="34" spans="1:11" x14ac:dyDescent="0.25">
      <c r="A34" t="s">
        <v>10</v>
      </c>
      <c r="B34">
        <v>3</v>
      </c>
      <c r="C34" t="s">
        <v>41</v>
      </c>
      <c r="D34">
        <v>0.46</v>
      </c>
      <c r="E34">
        <v>32.9</v>
      </c>
      <c r="H34">
        <v>-120</v>
      </c>
      <c r="I34">
        <v>60</v>
      </c>
      <c r="J34">
        <v>34.4</v>
      </c>
      <c r="K34" s="2">
        <v>0.26</v>
      </c>
    </row>
    <row r="35" spans="1:11" x14ac:dyDescent="0.25">
      <c r="A35" t="s">
        <v>10</v>
      </c>
      <c r="B35">
        <v>3</v>
      </c>
      <c r="C35" t="s">
        <v>42</v>
      </c>
      <c r="D35">
        <v>0.28999999999999998</v>
      </c>
      <c r="E35">
        <v>31</v>
      </c>
      <c r="H35">
        <v>-120</v>
      </c>
      <c r="I35">
        <v>60</v>
      </c>
      <c r="J35">
        <v>51.3</v>
      </c>
      <c r="K35" s="2">
        <v>0.3</v>
      </c>
    </row>
    <row r="36" spans="1:11" x14ac:dyDescent="0.25">
      <c r="A36" t="s">
        <v>10</v>
      </c>
      <c r="B36">
        <v>3</v>
      </c>
      <c r="C36" t="s">
        <v>43</v>
      </c>
      <c r="D36">
        <v>0.28000000000000003</v>
      </c>
      <c r="E36">
        <v>29.8</v>
      </c>
      <c r="H36">
        <v>-120</v>
      </c>
      <c r="I36">
        <v>60</v>
      </c>
      <c r="J36">
        <v>52.1</v>
      </c>
      <c r="K36" s="2">
        <v>0.31</v>
      </c>
    </row>
    <row r="37" spans="1:11" x14ac:dyDescent="0.25">
      <c r="A37" t="s">
        <v>10</v>
      </c>
      <c r="B37">
        <v>3</v>
      </c>
      <c r="C37" t="s">
        <v>44</v>
      </c>
      <c r="D37">
        <v>0.26</v>
      </c>
      <c r="E37">
        <v>28.2</v>
      </c>
      <c r="H37">
        <v>-120</v>
      </c>
      <c r="I37">
        <v>60</v>
      </c>
      <c r="J37">
        <v>53.1</v>
      </c>
      <c r="K37" s="2">
        <v>0.31</v>
      </c>
    </row>
    <row r="38" spans="1:11" x14ac:dyDescent="0.25">
      <c r="A38" t="s">
        <v>10</v>
      </c>
      <c r="B38">
        <v>3</v>
      </c>
      <c r="C38" t="s">
        <v>45</v>
      </c>
      <c r="D38">
        <v>0.32</v>
      </c>
      <c r="E38">
        <v>34.799999999999997</v>
      </c>
      <c r="H38">
        <v>-120</v>
      </c>
      <c r="I38">
        <v>60</v>
      </c>
      <c r="J38">
        <v>48.7</v>
      </c>
      <c r="K38" s="2">
        <v>0.28999999999999998</v>
      </c>
    </row>
    <row r="39" spans="1:11" x14ac:dyDescent="0.25">
      <c r="A39" t="s">
        <v>10</v>
      </c>
      <c r="B39">
        <v>3</v>
      </c>
      <c r="C39" t="s">
        <v>46</v>
      </c>
      <c r="D39">
        <v>0.33</v>
      </c>
      <c r="E39">
        <v>36</v>
      </c>
      <c r="H39">
        <v>-120</v>
      </c>
      <c r="I39">
        <v>60</v>
      </c>
      <c r="J39">
        <v>47.8</v>
      </c>
      <c r="K39" s="2">
        <v>0.28000000000000003</v>
      </c>
    </row>
    <row r="40" spans="1:11" x14ac:dyDescent="0.25">
      <c r="A40" t="s">
        <v>10</v>
      </c>
      <c r="B40">
        <v>3</v>
      </c>
      <c r="C40" t="s">
        <v>47</v>
      </c>
      <c r="D40">
        <v>0.43</v>
      </c>
      <c r="E40">
        <v>45.2</v>
      </c>
      <c r="H40">
        <v>30</v>
      </c>
      <c r="I40">
        <v>210</v>
      </c>
      <c r="J40">
        <v>18.100000000000001</v>
      </c>
      <c r="K40" s="2">
        <v>0.11</v>
      </c>
    </row>
    <row r="41" spans="1:11" x14ac:dyDescent="0.25">
      <c r="A41" t="s">
        <v>10</v>
      </c>
      <c r="B41">
        <v>3</v>
      </c>
      <c r="C41" t="s">
        <v>48</v>
      </c>
      <c r="D41">
        <v>0.35</v>
      </c>
      <c r="E41">
        <v>46.5</v>
      </c>
      <c r="H41">
        <v>30</v>
      </c>
      <c r="I41">
        <v>210</v>
      </c>
      <c r="J41">
        <v>17.7</v>
      </c>
      <c r="K41" s="2">
        <v>0.05</v>
      </c>
    </row>
    <row r="42" spans="1:11" x14ac:dyDescent="0.25">
      <c r="A42" t="s">
        <v>10</v>
      </c>
      <c r="B42">
        <v>3</v>
      </c>
      <c r="C42" t="s">
        <v>49</v>
      </c>
      <c r="D42">
        <v>0.19</v>
      </c>
      <c r="E42">
        <v>30.1</v>
      </c>
      <c r="H42">
        <v>150</v>
      </c>
      <c r="I42">
        <v>330</v>
      </c>
      <c r="J42">
        <v>27</v>
      </c>
      <c r="K42" s="2">
        <v>0.08</v>
      </c>
    </row>
    <row r="43" spans="1:11" x14ac:dyDescent="0.25">
      <c r="A43" t="s">
        <v>10</v>
      </c>
      <c r="B43">
        <v>3</v>
      </c>
      <c r="C43" t="s">
        <v>50</v>
      </c>
      <c r="D43">
        <v>0.18</v>
      </c>
      <c r="E43">
        <v>29.1</v>
      </c>
      <c r="H43">
        <v>150</v>
      </c>
      <c r="I43">
        <v>330</v>
      </c>
      <c r="J43">
        <v>27.6</v>
      </c>
      <c r="K43" s="2">
        <v>0.09</v>
      </c>
    </row>
    <row r="44" spans="1:11" x14ac:dyDescent="0.25">
      <c r="A44" t="s">
        <v>10</v>
      </c>
      <c r="B44">
        <v>3</v>
      </c>
      <c r="C44" t="s">
        <v>51</v>
      </c>
      <c r="D44">
        <v>0.39</v>
      </c>
      <c r="E44">
        <v>53</v>
      </c>
      <c r="H44">
        <v>-50</v>
      </c>
      <c r="I44">
        <v>130</v>
      </c>
      <c r="J44">
        <v>36.1</v>
      </c>
      <c r="K44" s="2">
        <v>0.11</v>
      </c>
    </row>
    <row r="45" spans="1:11" x14ac:dyDescent="0.25">
      <c r="A45" t="s">
        <v>10</v>
      </c>
      <c r="B45">
        <v>3</v>
      </c>
      <c r="C45" t="s">
        <v>52</v>
      </c>
      <c r="D45">
        <v>0.37</v>
      </c>
      <c r="E45">
        <v>51.6</v>
      </c>
      <c r="H45">
        <v>-50</v>
      </c>
      <c r="I45">
        <v>130</v>
      </c>
      <c r="J45">
        <v>36.9</v>
      </c>
      <c r="K45" s="2">
        <v>0.11</v>
      </c>
    </row>
    <row r="46" spans="1:11" x14ac:dyDescent="0.25">
      <c r="A46" t="s">
        <v>10</v>
      </c>
      <c r="B46">
        <v>3</v>
      </c>
      <c r="C46" t="s">
        <v>53</v>
      </c>
      <c r="D46">
        <v>0.36</v>
      </c>
      <c r="E46">
        <v>50.1</v>
      </c>
      <c r="H46">
        <v>-50</v>
      </c>
      <c r="I46">
        <v>130</v>
      </c>
      <c r="J46">
        <v>37.700000000000003</v>
      </c>
      <c r="K46" s="2">
        <v>0.12</v>
      </c>
    </row>
    <row r="47" spans="1:11" x14ac:dyDescent="0.25">
      <c r="A47" t="s">
        <v>10</v>
      </c>
      <c r="B47">
        <v>3</v>
      </c>
      <c r="C47" t="s">
        <v>54</v>
      </c>
      <c r="D47">
        <v>0.23</v>
      </c>
      <c r="E47">
        <v>31.4</v>
      </c>
      <c r="H47">
        <v>-50</v>
      </c>
      <c r="I47">
        <v>130</v>
      </c>
      <c r="J47">
        <v>56.5</v>
      </c>
      <c r="K47" s="2">
        <v>0.17</v>
      </c>
    </row>
    <row r="48" spans="1:11" x14ac:dyDescent="0.25">
      <c r="A48" t="s">
        <v>10</v>
      </c>
      <c r="B48">
        <v>3</v>
      </c>
      <c r="C48" t="s">
        <v>55</v>
      </c>
      <c r="D48">
        <v>0.22</v>
      </c>
      <c r="E48">
        <v>30.3</v>
      </c>
      <c r="H48">
        <v>-50</v>
      </c>
      <c r="I48">
        <v>130</v>
      </c>
      <c r="J48">
        <v>57.3</v>
      </c>
      <c r="K48" s="2">
        <v>0.18</v>
      </c>
    </row>
    <row r="49" spans="1:11" x14ac:dyDescent="0.25">
      <c r="A49" t="s">
        <v>10</v>
      </c>
      <c r="B49">
        <v>3</v>
      </c>
      <c r="C49" t="s">
        <v>56</v>
      </c>
      <c r="D49">
        <v>0.21</v>
      </c>
      <c r="E49">
        <v>29.1</v>
      </c>
      <c r="H49">
        <v>-50</v>
      </c>
      <c r="I49">
        <v>130</v>
      </c>
      <c r="J49">
        <v>58</v>
      </c>
      <c r="K49" s="2">
        <v>0.18</v>
      </c>
    </row>
    <row r="50" spans="1:11" x14ac:dyDescent="0.25">
      <c r="A50" t="s">
        <v>10</v>
      </c>
      <c r="B50">
        <v>4</v>
      </c>
      <c r="C50" t="s">
        <v>41</v>
      </c>
      <c r="D50">
        <v>0.46</v>
      </c>
      <c r="E50">
        <v>32.9</v>
      </c>
      <c r="H50">
        <v>-120</v>
      </c>
      <c r="I50">
        <v>60</v>
      </c>
      <c r="J50">
        <v>36.1</v>
      </c>
      <c r="K50" s="2">
        <v>0.28000000000000003</v>
      </c>
    </row>
    <row r="51" spans="1:11" x14ac:dyDescent="0.25">
      <c r="A51" t="s">
        <v>10</v>
      </c>
      <c r="B51">
        <v>4</v>
      </c>
      <c r="C51" t="s">
        <v>42</v>
      </c>
      <c r="D51">
        <v>0.28999999999999998</v>
      </c>
      <c r="E51">
        <v>31</v>
      </c>
      <c r="H51">
        <v>-120</v>
      </c>
      <c r="I51">
        <v>60</v>
      </c>
      <c r="J51">
        <v>48.3</v>
      </c>
      <c r="K51" s="2">
        <v>0.28000000000000003</v>
      </c>
    </row>
    <row r="52" spans="1:11" x14ac:dyDescent="0.25">
      <c r="A52" t="s">
        <v>10</v>
      </c>
      <c r="B52">
        <v>4</v>
      </c>
      <c r="C52" t="s">
        <v>43</v>
      </c>
      <c r="D52">
        <v>0.28000000000000003</v>
      </c>
      <c r="E52">
        <v>29.8</v>
      </c>
      <c r="H52">
        <v>-120</v>
      </c>
      <c r="I52">
        <v>60</v>
      </c>
      <c r="J52">
        <v>44.8</v>
      </c>
      <c r="K52" s="2">
        <v>0.26</v>
      </c>
    </row>
    <row r="53" spans="1:11" x14ac:dyDescent="0.25">
      <c r="A53" t="s">
        <v>10</v>
      </c>
      <c r="B53">
        <v>4</v>
      </c>
      <c r="C53" t="s">
        <v>44</v>
      </c>
      <c r="D53">
        <v>0.26</v>
      </c>
      <c r="E53">
        <v>28.2</v>
      </c>
      <c r="H53">
        <v>-120</v>
      </c>
      <c r="I53">
        <v>60</v>
      </c>
      <c r="J53">
        <v>38.6</v>
      </c>
      <c r="K53" s="2">
        <v>0.23</v>
      </c>
    </row>
    <row r="54" spans="1:11" x14ac:dyDescent="0.25">
      <c r="A54" t="s">
        <v>10</v>
      </c>
      <c r="B54">
        <v>4</v>
      </c>
      <c r="C54" t="s">
        <v>45</v>
      </c>
      <c r="D54">
        <v>0.32</v>
      </c>
      <c r="E54">
        <v>34.799999999999997</v>
      </c>
      <c r="H54">
        <v>-120</v>
      </c>
      <c r="I54">
        <v>60</v>
      </c>
      <c r="J54">
        <v>55.8</v>
      </c>
      <c r="K54" s="2">
        <v>0.33</v>
      </c>
    </row>
    <row r="55" spans="1:11" x14ac:dyDescent="0.25">
      <c r="A55" t="s">
        <v>10</v>
      </c>
      <c r="B55">
        <v>4</v>
      </c>
      <c r="C55" t="s">
        <v>46</v>
      </c>
      <c r="D55">
        <v>0.33</v>
      </c>
      <c r="E55">
        <v>36</v>
      </c>
      <c r="H55">
        <v>-120</v>
      </c>
      <c r="I55">
        <v>60</v>
      </c>
      <c r="J55">
        <v>57.3</v>
      </c>
      <c r="K55" s="2">
        <v>0.34</v>
      </c>
    </row>
    <row r="56" spans="1:11" x14ac:dyDescent="0.25">
      <c r="A56" t="s">
        <v>10</v>
      </c>
      <c r="B56">
        <v>4</v>
      </c>
      <c r="C56" t="s">
        <v>47</v>
      </c>
      <c r="D56">
        <v>0.43</v>
      </c>
      <c r="E56">
        <v>45.2</v>
      </c>
      <c r="H56">
        <v>30</v>
      </c>
      <c r="I56">
        <v>210</v>
      </c>
      <c r="J56">
        <v>21.6</v>
      </c>
      <c r="K56" s="2">
        <v>0.13</v>
      </c>
    </row>
    <row r="57" spans="1:11" x14ac:dyDescent="0.25">
      <c r="A57" t="s">
        <v>10</v>
      </c>
      <c r="B57">
        <v>4</v>
      </c>
      <c r="C57" t="s">
        <v>48</v>
      </c>
      <c r="D57">
        <v>0.35</v>
      </c>
      <c r="E57">
        <v>46.5</v>
      </c>
      <c r="H57">
        <v>30</v>
      </c>
      <c r="I57">
        <v>210</v>
      </c>
      <c r="J57">
        <v>23</v>
      </c>
      <c r="K57" s="2">
        <v>7.0000000000000007E-2</v>
      </c>
    </row>
    <row r="58" spans="1:11" x14ac:dyDescent="0.25">
      <c r="A58" t="s">
        <v>10</v>
      </c>
      <c r="B58">
        <v>4</v>
      </c>
      <c r="C58" t="s">
        <v>49</v>
      </c>
      <c r="D58">
        <v>0.19</v>
      </c>
      <c r="E58">
        <v>30.1</v>
      </c>
      <c r="H58">
        <v>150</v>
      </c>
      <c r="I58">
        <v>330</v>
      </c>
      <c r="J58">
        <v>31.6</v>
      </c>
      <c r="K58" s="2">
        <v>0.1</v>
      </c>
    </row>
    <row r="59" spans="1:11" x14ac:dyDescent="0.25">
      <c r="A59" t="s">
        <v>10</v>
      </c>
      <c r="B59">
        <v>4</v>
      </c>
      <c r="C59" t="s">
        <v>50</v>
      </c>
      <c r="D59">
        <v>0.18</v>
      </c>
      <c r="E59">
        <v>29.1</v>
      </c>
      <c r="H59">
        <v>150</v>
      </c>
      <c r="I59">
        <v>330</v>
      </c>
      <c r="J59">
        <v>27.4</v>
      </c>
      <c r="K59" s="2">
        <v>0.08</v>
      </c>
    </row>
    <row r="60" spans="1:11" x14ac:dyDescent="0.25">
      <c r="A60" t="s">
        <v>10</v>
      </c>
      <c r="B60">
        <v>4</v>
      </c>
      <c r="C60" t="s">
        <v>51</v>
      </c>
      <c r="D60">
        <v>0.38</v>
      </c>
      <c r="E60">
        <v>53</v>
      </c>
      <c r="H60">
        <v>-50</v>
      </c>
      <c r="I60">
        <v>130</v>
      </c>
      <c r="J60">
        <v>55.6</v>
      </c>
      <c r="K60" s="2">
        <v>0.17</v>
      </c>
    </row>
    <row r="61" spans="1:11" x14ac:dyDescent="0.25">
      <c r="A61" t="s">
        <v>10</v>
      </c>
      <c r="B61">
        <v>4</v>
      </c>
      <c r="C61" t="s">
        <v>52</v>
      </c>
      <c r="D61">
        <v>0.37</v>
      </c>
      <c r="E61">
        <v>51.6</v>
      </c>
      <c r="H61">
        <v>-50</v>
      </c>
      <c r="I61">
        <v>130</v>
      </c>
      <c r="J61">
        <v>55.7</v>
      </c>
      <c r="K61" s="2">
        <v>0.17</v>
      </c>
    </row>
    <row r="62" spans="1:11" x14ac:dyDescent="0.25">
      <c r="A62" t="s">
        <v>10</v>
      </c>
      <c r="B62">
        <v>4</v>
      </c>
      <c r="C62" t="s">
        <v>53</v>
      </c>
      <c r="D62">
        <v>0.36</v>
      </c>
      <c r="E62">
        <v>50.1</v>
      </c>
      <c r="H62">
        <v>-50</v>
      </c>
      <c r="I62">
        <v>130</v>
      </c>
      <c r="J62">
        <v>55.4</v>
      </c>
      <c r="K62" s="2">
        <v>0.17</v>
      </c>
    </row>
    <row r="63" spans="1:11" x14ac:dyDescent="0.25">
      <c r="A63" t="s">
        <v>10</v>
      </c>
      <c r="B63">
        <v>4</v>
      </c>
      <c r="C63" t="s">
        <v>54</v>
      </c>
      <c r="D63">
        <v>0.23</v>
      </c>
      <c r="E63">
        <v>31.4</v>
      </c>
      <c r="H63">
        <v>-50</v>
      </c>
      <c r="I63">
        <v>130</v>
      </c>
      <c r="J63">
        <v>46.4</v>
      </c>
      <c r="K63" s="2">
        <v>0.14000000000000001</v>
      </c>
    </row>
    <row r="64" spans="1:11" x14ac:dyDescent="0.25">
      <c r="A64" t="s">
        <v>10</v>
      </c>
      <c r="B64">
        <v>4</v>
      </c>
      <c r="C64" t="s">
        <v>55</v>
      </c>
      <c r="D64">
        <v>0.22</v>
      </c>
      <c r="E64">
        <v>30.3</v>
      </c>
      <c r="H64">
        <v>-50</v>
      </c>
      <c r="I64">
        <v>130</v>
      </c>
      <c r="J64">
        <v>39</v>
      </c>
      <c r="K64" s="2">
        <v>0.12</v>
      </c>
    </row>
    <row r="65" spans="1:11" x14ac:dyDescent="0.25">
      <c r="A65" t="s">
        <v>10</v>
      </c>
      <c r="B65">
        <v>4</v>
      </c>
      <c r="C65" t="s">
        <v>56</v>
      </c>
      <c r="D65">
        <v>0.21</v>
      </c>
      <c r="E65">
        <v>29.1</v>
      </c>
      <c r="H65">
        <v>-50</v>
      </c>
      <c r="I65">
        <v>130</v>
      </c>
      <c r="J65">
        <v>29.1</v>
      </c>
      <c r="K65" s="2">
        <v>0.09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209"/>
  <sheetViews>
    <sheetView workbookViewId="0">
      <selection activeCell="D6" sqref="D6"/>
    </sheetView>
  </sheetViews>
  <sheetFormatPr defaultRowHeight="15" x14ac:dyDescent="0.25"/>
  <cols>
    <col min="1" max="1" width="30.42578125" bestFit="1" customWidth="1"/>
  </cols>
  <sheetData>
    <row r="1" spans="1:9" x14ac:dyDescent="0.25">
      <c r="A1" s="1" t="s">
        <v>0</v>
      </c>
      <c r="B1" s="1" t="s">
        <v>1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63</v>
      </c>
    </row>
    <row r="2" spans="1:9" x14ac:dyDescent="0.25">
      <c r="A2" t="s">
        <v>10</v>
      </c>
      <c r="B2">
        <v>1</v>
      </c>
      <c r="C2" s="8" t="s">
        <v>64</v>
      </c>
      <c r="D2" s="3">
        <v>50</v>
      </c>
      <c r="E2" s="3">
        <v>118.1</v>
      </c>
      <c r="F2" s="3">
        <v>140.1</v>
      </c>
      <c r="G2" s="2">
        <v>0.7</v>
      </c>
      <c r="H2" s="4">
        <v>23</v>
      </c>
      <c r="I2" s="3">
        <v>56.6</v>
      </c>
    </row>
    <row r="3" spans="1:9" x14ac:dyDescent="0.25">
      <c r="A3" t="s">
        <v>10</v>
      </c>
      <c r="B3">
        <v>1</v>
      </c>
      <c r="C3" s="8" t="s">
        <v>65</v>
      </c>
      <c r="D3" s="3">
        <v>41.3</v>
      </c>
      <c r="E3" s="3">
        <v>122.4</v>
      </c>
      <c r="F3" s="3">
        <v>137.4</v>
      </c>
      <c r="G3" s="2">
        <v>0.69</v>
      </c>
      <c r="H3" s="4">
        <v>19</v>
      </c>
      <c r="I3" s="3">
        <v>46.7</v>
      </c>
    </row>
    <row r="4" spans="1:9" x14ac:dyDescent="0.25">
      <c r="A4" t="s">
        <v>10</v>
      </c>
      <c r="B4">
        <v>1</v>
      </c>
      <c r="C4" s="8" t="s">
        <v>66</v>
      </c>
    </row>
    <row r="5" spans="1:9" x14ac:dyDescent="0.25">
      <c r="A5" t="s">
        <v>10</v>
      </c>
      <c r="B5">
        <v>1</v>
      </c>
      <c r="C5" s="8" t="s">
        <v>67</v>
      </c>
    </row>
    <row r="6" spans="1:9" x14ac:dyDescent="0.25">
      <c r="A6" t="s">
        <v>10</v>
      </c>
      <c r="B6">
        <v>1</v>
      </c>
      <c r="C6" s="8" t="s">
        <v>68</v>
      </c>
    </row>
    <row r="7" spans="1:9" x14ac:dyDescent="0.25">
      <c r="A7" t="s">
        <v>10</v>
      </c>
      <c r="B7">
        <v>1</v>
      </c>
      <c r="C7" s="8" t="s">
        <v>69</v>
      </c>
    </row>
    <row r="8" spans="1:9" x14ac:dyDescent="0.25">
      <c r="A8" t="s">
        <v>10</v>
      </c>
      <c r="B8">
        <v>1</v>
      </c>
      <c r="C8" s="8" t="s">
        <v>70</v>
      </c>
      <c r="D8" s="3">
        <v>-36.200000000000003</v>
      </c>
      <c r="E8" s="3">
        <v>3</v>
      </c>
      <c r="F8" s="3">
        <v>37.5</v>
      </c>
      <c r="G8" s="2">
        <v>0.19</v>
      </c>
      <c r="H8" s="4">
        <v>-86</v>
      </c>
      <c r="I8" s="3">
        <v>9.6999999999999993</v>
      </c>
    </row>
    <row r="9" spans="1:9" x14ac:dyDescent="0.25">
      <c r="A9" t="s">
        <v>10</v>
      </c>
      <c r="B9">
        <v>1</v>
      </c>
      <c r="C9" s="8" t="s">
        <v>71</v>
      </c>
    </row>
    <row r="10" spans="1:9" x14ac:dyDescent="0.25">
      <c r="A10" t="s">
        <v>10</v>
      </c>
      <c r="B10">
        <v>1</v>
      </c>
      <c r="C10" s="8" t="s">
        <v>72</v>
      </c>
    </row>
    <row r="11" spans="1:9" x14ac:dyDescent="0.25">
      <c r="A11" t="s">
        <v>10</v>
      </c>
      <c r="B11">
        <v>1</v>
      </c>
      <c r="C11" s="8" t="s">
        <v>73</v>
      </c>
    </row>
    <row r="12" spans="1:9" x14ac:dyDescent="0.25">
      <c r="A12" t="s">
        <v>10</v>
      </c>
      <c r="B12">
        <v>1</v>
      </c>
      <c r="C12" s="8" t="s">
        <v>74</v>
      </c>
    </row>
    <row r="13" spans="1:9" x14ac:dyDescent="0.25">
      <c r="A13" t="s">
        <v>10</v>
      </c>
      <c r="B13">
        <v>1</v>
      </c>
      <c r="C13" s="8" t="s">
        <v>75</v>
      </c>
    </row>
    <row r="14" spans="1:9" x14ac:dyDescent="0.25">
      <c r="A14" t="s">
        <v>10</v>
      </c>
      <c r="B14">
        <v>1</v>
      </c>
      <c r="C14" s="8" t="s">
        <v>76</v>
      </c>
    </row>
    <row r="15" spans="1:9" x14ac:dyDescent="0.25">
      <c r="A15" t="s">
        <v>10</v>
      </c>
      <c r="B15">
        <v>1</v>
      </c>
      <c r="C15" s="8" t="s">
        <v>77</v>
      </c>
    </row>
    <row r="16" spans="1:9" x14ac:dyDescent="0.25">
      <c r="A16" t="s">
        <v>10</v>
      </c>
      <c r="B16">
        <v>1</v>
      </c>
      <c r="C16" s="8" t="s">
        <v>78</v>
      </c>
    </row>
    <row r="17" spans="1:9" x14ac:dyDescent="0.25">
      <c r="A17" t="s">
        <v>10</v>
      </c>
      <c r="B17">
        <v>1</v>
      </c>
      <c r="C17" s="8" t="s">
        <v>79</v>
      </c>
    </row>
    <row r="18" spans="1:9" x14ac:dyDescent="0.25">
      <c r="A18" t="s">
        <v>10</v>
      </c>
      <c r="B18">
        <v>1</v>
      </c>
      <c r="C18" s="8" t="s">
        <v>80</v>
      </c>
    </row>
    <row r="19" spans="1:9" x14ac:dyDescent="0.25">
      <c r="A19" t="s">
        <v>10</v>
      </c>
      <c r="B19">
        <v>1</v>
      </c>
      <c r="C19" s="8" t="s">
        <v>81</v>
      </c>
    </row>
    <row r="20" spans="1:9" x14ac:dyDescent="0.25">
      <c r="A20" t="s">
        <v>10</v>
      </c>
      <c r="B20">
        <v>1</v>
      </c>
      <c r="C20" s="8" t="s">
        <v>82</v>
      </c>
    </row>
    <row r="21" spans="1:9" x14ac:dyDescent="0.25">
      <c r="A21" t="s">
        <v>10</v>
      </c>
      <c r="B21">
        <v>1</v>
      </c>
      <c r="C21" s="8" t="s">
        <v>83</v>
      </c>
    </row>
    <row r="22" spans="1:9" x14ac:dyDescent="0.25">
      <c r="A22" t="s">
        <v>10</v>
      </c>
      <c r="B22">
        <v>1</v>
      </c>
      <c r="C22" s="8" t="s">
        <v>84</v>
      </c>
    </row>
    <row r="23" spans="1:9" x14ac:dyDescent="0.25">
      <c r="A23" t="s">
        <v>10</v>
      </c>
      <c r="B23">
        <v>1</v>
      </c>
      <c r="C23" s="8" t="s">
        <v>85</v>
      </c>
    </row>
    <row r="24" spans="1:9" x14ac:dyDescent="0.25">
      <c r="A24" t="s">
        <v>10</v>
      </c>
      <c r="B24">
        <v>1</v>
      </c>
      <c r="C24" s="8" t="s">
        <v>86</v>
      </c>
    </row>
    <row r="25" spans="1:9" x14ac:dyDescent="0.25">
      <c r="A25" t="s">
        <v>10</v>
      </c>
      <c r="B25">
        <v>1</v>
      </c>
      <c r="C25" s="8" t="s">
        <v>87</v>
      </c>
    </row>
    <row r="26" spans="1:9" x14ac:dyDescent="0.25">
      <c r="A26" t="s">
        <v>10</v>
      </c>
      <c r="B26">
        <v>1</v>
      </c>
      <c r="C26" s="8" t="s">
        <v>88</v>
      </c>
    </row>
    <row r="27" spans="1:9" x14ac:dyDescent="0.25">
      <c r="A27" t="s">
        <v>10</v>
      </c>
      <c r="B27">
        <v>1</v>
      </c>
      <c r="C27" s="8" t="s">
        <v>89</v>
      </c>
    </row>
    <row r="28" spans="1:9" x14ac:dyDescent="0.25">
      <c r="A28" t="s">
        <v>10</v>
      </c>
      <c r="B28">
        <v>1</v>
      </c>
      <c r="C28" s="8" t="s">
        <v>90</v>
      </c>
      <c r="D28" s="3">
        <v>48.2</v>
      </c>
      <c r="E28" s="3">
        <v>13.3</v>
      </c>
      <c r="F28" s="3">
        <v>54.8</v>
      </c>
      <c r="G28" s="2">
        <v>0.27</v>
      </c>
      <c r="H28" s="4">
        <v>75</v>
      </c>
      <c r="I28" s="3">
        <v>22.5</v>
      </c>
    </row>
    <row r="29" spans="1:9" x14ac:dyDescent="0.25">
      <c r="A29" t="s">
        <v>10</v>
      </c>
      <c r="B29">
        <v>1</v>
      </c>
      <c r="C29" s="8" t="s">
        <v>91</v>
      </c>
    </row>
    <row r="30" spans="1:9" x14ac:dyDescent="0.25">
      <c r="A30" t="s">
        <v>10</v>
      </c>
      <c r="B30">
        <v>1</v>
      </c>
      <c r="C30" s="8" t="s">
        <v>92</v>
      </c>
    </row>
    <row r="31" spans="1:9" x14ac:dyDescent="0.25">
      <c r="A31" t="s">
        <v>10</v>
      </c>
      <c r="B31">
        <v>1</v>
      </c>
      <c r="C31" s="8" t="s">
        <v>93</v>
      </c>
    </row>
    <row r="32" spans="1:9" x14ac:dyDescent="0.25">
      <c r="A32" t="s">
        <v>10</v>
      </c>
      <c r="B32">
        <v>1</v>
      </c>
      <c r="C32" s="8" t="s">
        <v>94</v>
      </c>
      <c r="D32" s="3">
        <v>-50</v>
      </c>
      <c r="E32" s="3">
        <v>119.7</v>
      </c>
      <c r="F32" s="3">
        <v>141.30000000000001</v>
      </c>
      <c r="G32" s="2">
        <v>0.71</v>
      </c>
      <c r="H32" s="4">
        <v>-23</v>
      </c>
      <c r="I32" s="3">
        <v>55.9</v>
      </c>
    </row>
    <row r="33" spans="1:9" x14ac:dyDescent="0.25">
      <c r="A33" t="s">
        <v>10</v>
      </c>
      <c r="B33">
        <v>1</v>
      </c>
      <c r="C33" s="8" t="s">
        <v>95</v>
      </c>
      <c r="D33" s="3">
        <v>-56.3</v>
      </c>
      <c r="E33" s="3">
        <v>120.4</v>
      </c>
      <c r="F33" s="3">
        <v>136.5</v>
      </c>
      <c r="G33" s="2">
        <v>0.68</v>
      </c>
      <c r="H33" s="4">
        <v>-25</v>
      </c>
      <c r="I33" s="3">
        <v>30.9</v>
      </c>
    </row>
    <row r="34" spans="1:9" x14ac:dyDescent="0.25">
      <c r="A34" t="s">
        <v>10</v>
      </c>
      <c r="B34">
        <v>1</v>
      </c>
      <c r="C34" s="8" t="s">
        <v>96</v>
      </c>
    </row>
    <row r="35" spans="1:9" x14ac:dyDescent="0.25">
      <c r="A35" t="s">
        <v>10</v>
      </c>
      <c r="B35">
        <v>1</v>
      </c>
      <c r="C35" s="8" t="s">
        <v>97</v>
      </c>
    </row>
    <row r="36" spans="1:9" x14ac:dyDescent="0.25">
      <c r="A36" t="s">
        <v>10</v>
      </c>
      <c r="B36">
        <v>1</v>
      </c>
      <c r="C36" s="8" t="s">
        <v>98</v>
      </c>
    </row>
    <row r="37" spans="1:9" x14ac:dyDescent="0.25">
      <c r="A37" t="s">
        <v>10</v>
      </c>
      <c r="B37">
        <v>1</v>
      </c>
      <c r="C37" s="8" t="s">
        <v>99</v>
      </c>
    </row>
    <row r="38" spans="1:9" x14ac:dyDescent="0.25">
      <c r="A38" t="s">
        <v>10</v>
      </c>
      <c r="B38">
        <v>1</v>
      </c>
      <c r="C38" s="8" t="s">
        <v>100</v>
      </c>
    </row>
    <row r="39" spans="1:9" x14ac:dyDescent="0.25">
      <c r="A39" t="s">
        <v>10</v>
      </c>
      <c r="B39">
        <v>1</v>
      </c>
      <c r="C39" s="8" t="s">
        <v>101</v>
      </c>
    </row>
    <row r="40" spans="1:9" x14ac:dyDescent="0.25">
      <c r="A40" t="s">
        <v>10</v>
      </c>
      <c r="B40">
        <v>1</v>
      </c>
      <c r="C40" s="8" t="s">
        <v>102</v>
      </c>
    </row>
    <row r="41" spans="1:9" x14ac:dyDescent="0.25">
      <c r="A41" t="s">
        <v>10</v>
      </c>
      <c r="B41">
        <v>1</v>
      </c>
      <c r="C41" s="8" t="s">
        <v>103</v>
      </c>
    </row>
    <row r="42" spans="1:9" x14ac:dyDescent="0.25">
      <c r="A42" t="s">
        <v>10</v>
      </c>
      <c r="B42">
        <v>1</v>
      </c>
      <c r="C42" s="8" t="s">
        <v>104</v>
      </c>
    </row>
    <row r="43" spans="1:9" x14ac:dyDescent="0.25">
      <c r="A43" t="s">
        <v>10</v>
      </c>
      <c r="B43">
        <v>1</v>
      </c>
      <c r="C43" s="8" t="s">
        <v>105</v>
      </c>
    </row>
    <row r="44" spans="1:9" x14ac:dyDescent="0.25">
      <c r="A44" t="s">
        <v>10</v>
      </c>
      <c r="B44">
        <v>1</v>
      </c>
      <c r="C44" s="8" t="s">
        <v>106</v>
      </c>
    </row>
    <row r="45" spans="1:9" x14ac:dyDescent="0.25">
      <c r="A45" t="s">
        <v>10</v>
      </c>
      <c r="B45">
        <v>1</v>
      </c>
      <c r="C45" s="8" t="s">
        <v>107</v>
      </c>
    </row>
    <row r="46" spans="1:9" x14ac:dyDescent="0.25">
      <c r="A46" t="s">
        <v>10</v>
      </c>
      <c r="B46">
        <v>1</v>
      </c>
      <c r="C46" s="8" t="s">
        <v>108</v>
      </c>
    </row>
    <row r="47" spans="1:9" x14ac:dyDescent="0.25">
      <c r="A47" t="s">
        <v>10</v>
      </c>
      <c r="B47">
        <v>1</v>
      </c>
      <c r="C47" s="8" t="s">
        <v>109</v>
      </c>
    </row>
    <row r="48" spans="1:9" x14ac:dyDescent="0.25">
      <c r="A48" t="s">
        <v>10</v>
      </c>
      <c r="B48">
        <v>1</v>
      </c>
      <c r="C48" s="8" t="s">
        <v>110</v>
      </c>
    </row>
    <row r="49" spans="1:9" x14ac:dyDescent="0.25">
      <c r="A49" t="s">
        <v>10</v>
      </c>
      <c r="B49">
        <v>1</v>
      </c>
      <c r="C49" s="8" t="s">
        <v>111</v>
      </c>
    </row>
    <row r="50" spans="1:9" x14ac:dyDescent="0.25">
      <c r="A50" t="s">
        <v>10</v>
      </c>
      <c r="B50">
        <v>1</v>
      </c>
      <c r="C50" s="8" t="s">
        <v>112</v>
      </c>
    </row>
    <row r="51" spans="1:9" x14ac:dyDescent="0.25">
      <c r="A51" t="s">
        <v>10</v>
      </c>
      <c r="B51">
        <v>1</v>
      </c>
      <c r="C51" s="8" t="s">
        <v>113</v>
      </c>
    </row>
    <row r="52" spans="1:9" x14ac:dyDescent="0.25">
      <c r="A52" t="s">
        <v>10</v>
      </c>
      <c r="B52">
        <v>1</v>
      </c>
      <c r="C52" s="8" t="s">
        <v>114</v>
      </c>
    </row>
    <row r="53" spans="1:9" x14ac:dyDescent="0.25">
      <c r="A53" t="s">
        <v>10</v>
      </c>
      <c r="B53">
        <v>1</v>
      </c>
      <c r="C53" s="8" t="s">
        <v>115</v>
      </c>
    </row>
    <row r="54" spans="1:9" x14ac:dyDescent="0.25">
      <c r="A54" t="s">
        <v>10</v>
      </c>
      <c r="B54">
        <v>2</v>
      </c>
      <c r="C54" s="8" t="s">
        <v>64</v>
      </c>
      <c r="D54" s="3">
        <v>46.4</v>
      </c>
      <c r="E54" s="3">
        <v>106.3</v>
      </c>
      <c r="F54" s="3">
        <v>121</v>
      </c>
      <c r="G54" s="2">
        <v>0.61</v>
      </c>
      <c r="H54" s="4">
        <v>24</v>
      </c>
      <c r="I54" s="3">
        <v>34.299999999999997</v>
      </c>
    </row>
    <row r="55" spans="1:9" x14ac:dyDescent="0.25">
      <c r="A55" t="s">
        <v>10</v>
      </c>
      <c r="B55">
        <v>2</v>
      </c>
      <c r="C55" s="8" t="s">
        <v>65</v>
      </c>
      <c r="D55" s="3">
        <v>49</v>
      </c>
      <c r="E55" s="3">
        <v>139.4</v>
      </c>
      <c r="F55" s="3">
        <v>152.19999999999999</v>
      </c>
      <c r="G55" s="2">
        <v>0.76</v>
      </c>
      <c r="H55" s="4">
        <v>19</v>
      </c>
      <c r="I55" s="3">
        <v>36.200000000000003</v>
      </c>
    </row>
    <row r="56" spans="1:9" x14ac:dyDescent="0.25">
      <c r="A56" t="s">
        <v>10</v>
      </c>
      <c r="B56">
        <v>2</v>
      </c>
      <c r="C56" s="8" t="s">
        <v>66</v>
      </c>
    </row>
    <row r="57" spans="1:9" x14ac:dyDescent="0.25">
      <c r="A57" t="s">
        <v>10</v>
      </c>
      <c r="B57">
        <v>2</v>
      </c>
      <c r="C57" s="8" t="s">
        <v>67</v>
      </c>
    </row>
    <row r="58" spans="1:9" x14ac:dyDescent="0.25">
      <c r="A58" t="s">
        <v>10</v>
      </c>
      <c r="B58">
        <v>2</v>
      </c>
      <c r="C58" s="8" t="s">
        <v>68</v>
      </c>
    </row>
    <row r="59" spans="1:9" x14ac:dyDescent="0.25">
      <c r="A59" t="s">
        <v>10</v>
      </c>
      <c r="B59">
        <v>2</v>
      </c>
      <c r="C59" s="8" t="s">
        <v>69</v>
      </c>
    </row>
    <row r="60" spans="1:9" x14ac:dyDescent="0.25">
      <c r="A60" t="s">
        <v>10</v>
      </c>
      <c r="B60">
        <v>2</v>
      </c>
      <c r="C60" s="8" t="s">
        <v>70</v>
      </c>
      <c r="D60" s="3">
        <v>-46</v>
      </c>
      <c r="E60" s="3">
        <v>4.5</v>
      </c>
      <c r="F60" s="3">
        <v>46.9</v>
      </c>
      <c r="G60" s="2">
        <v>0.23</v>
      </c>
      <c r="H60" s="4">
        <v>-86</v>
      </c>
      <c r="I60" s="3">
        <v>8.5</v>
      </c>
    </row>
    <row r="61" spans="1:9" x14ac:dyDescent="0.25">
      <c r="A61" t="s">
        <v>10</v>
      </c>
      <c r="B61">
        <v>2</v>
      </c>
      <c r="C61" s="8" t="s">
        <v>71</v>
      </c>
    </row>
    <row r="62" spans="1:9" x14ac:dyDescent="0.25">
      <c r="A62" t="s">
        <v>10</v>
      </c>
      <c r="B62">
        <v>2</v>
      </c>
      <c r="C62" s="8" t="s">
        <v>72</v>
      </c>
    </row>
    <row r="63" spans="1:9" x14ac:dyDescent="0.25">
      <c r="A63" t="s">
        <v>10</v>
      </c>
      <c r="B63">
        <v>2</v>
      </c>
      <c r="C63" s="8" t="s">
        <v>73</v>
      </c>
    </row>
    <row r="64" spans="1:9" x14ac:dyDescent="0.25">
      <c r="A64" t="s">
        <v>10</v>
      </c>
      <c r="B64">
        <v>2</v>
      </c>
      <c r="C64" s="8" t="s">
        <v>74</v>
      </c>
    </row>
    <row r="65" spans="1:9" x14ac:dyDescent="0.25">
      <c r="A65" t="s">
        <v>10</v>
      </c>
      <c r="B65">
        <v>2</v>
      </c>
      <c r="C65" s="8" t="s">
        <v>75</v>
      </c>
    </row>
    <row r="66" spans="1:9" x14ac:dyDescent="0.25">
      <c r="A66" t="s">
        <v>10</v>
      </c>
      <c r="B66">
        <v>2</v>
      </c>
      <c r="C66" s="8" t="s">
        <v>76</v>
      </c>
    </row>
    <row r="67" spans="1:9" x14ac:dyDescent="0.25">
      <c r="A67" t="s">
        <v>10</v>
      </c>
      <c r="B67">
        <v>2</v>
      </c>
      <c r="C67" s="8" t="s">
        <v>77</v>
      </c>
    </row>
    <row r="68" spans="1:9" x14ac:dyDescent="0.25">
      <c r="A68" t="s">
        <v>10</v>
      </c>
      <c r="B68">
        <v>2</v>
      </c>
      <c r="C68" s="8" t="s">
        <v>78</v>
      </c>
    </row>
    <row r="69" spans="1:9" x14ac:dyDescent="0.25">
      <c r="A69" t="s">
        <v>10</v>
      </c>
      <c r="B69">
        <v>2</v>
      </c>
      <c r="C69" s="8" t="s">
        <v>79</v>
      </c>
    </row>
    <row r="70" spans="1:9" x14ac:dyDescent="0.25">
      <c r="A70" t="s">
        <v>10</v>
      </c>
      <c r="B70">
        <v>2</v>
      </c>
      <c r="C70" s="8" t="s">
        <v>80</v>
      </c>
    </row>
    <row r="71" spans="1:9" x14ac:dyDescent="0.25">
      <c r="A71" t="s">
        <v>10</v>
      </c>
      <c r="B71">
        <v>2</v>
      </c>
      <c r="C71" s="8" t="s">
        <v>81</v>
      </c>
    </row>
    <row r="72" spans="1:9" x14ac:dyDescent="0.25">
      <c r="A72" t="s">
        <v>10</v>
      </c>
      <c r="B72">
        <v>2</v>
      </c>
      <c r="C72" s="8" t="s">
        <v>82</v>
      </c>
    </row>
    <row r="73" spans="1:9" x14ac:dyDescent="0.25">
      <c r="A73" t="s">
        <v>10</v>
      </c>
      <c r="B73">
        <v>2</v>
      </c>
      <c r="C73" s="8" t="s">
        <v>83</v>
      </c>
    </row>
    <row r="74" spans="1:9" x14ac:dyDescent="0.25">
      <c r="A74" t="s">
        <v>10</v>
      </c>
      <c r="B74">
        <v>2</v>
      </c>
      <c r="C74" s="8" t="s">
        <v>84</v>
      </c>
    </row>
    <row r="75" spans="1:9" x14ac:dyDescent="0.25">
      <c r="A75" t="s">
        <v>10</v>
      </c>
      <c r="B75">
        <v>2</v>
      </c>
      <c r="C75" s="8" t="s">
        <v>85</v>
      </c>
    </row>
    <row r="76" spans="1:9" x14ac:dyDescent="0.25">
      <c r="A76" t="s">
        <v>10</v>
      </c>
      <c r="B76">
        <v>2</v>
      </c>
      <c r="C76" s="8" t="s">
        <v>86</v>
      </c>
    </row>
    <row r="77" spans="1:9" x14ac:dyDescent="0.25">
      <c r="A77" t="s">
        <v>10</v>
      </c>
      <c r="B77">
        <v>2</v>
      </c>
      <c r="C77" s="8" t="s">
        <v>87</v>
      </c>
    </row>
    <row r="78" spans="1:9" x14ac:dyDescent="0.25">
      <c r="A78" t="s">
        <v>10</v>
      </c>
      <c r="B78">
        <v>2</v>
      </c>
      <c r="C78" s="8" t="s">
        <v>88</v>
      </c>
    </row>
    <row r="79" spans="1:9" x14ac:dyDescent="0.25">
      <c r="A79" t="s">
        <v>10</v>
      </c>
      <c r="B79">
        <v>2</v>
      </c>
      <c r="C79" s="8" t="s">
        <v>89</v>
      </c>
    </row>
    <row r="80" spans="1:9" x14ac:dyDescent="0.25">
      <c r="A80" t="s">
        <v>10</v>
      </c>
      <c r="B80">
        <v>2</v>
      </c>
      <c r="C80" s="8" t="s">
        <v>90</v>
      </c>
      <c r="D80" s="3">
        <v>51.4</v>
      </c>
      <c r="E80" s="3">
        <v>14.1</v>
      </c>
      <c r="F80" s="3">
        <v>55.5</v>
      </c>
      <c r="G80" s="2">
        <v>0.28000000000000003</v>
      </c>
      <c r="H80" s="4">
        <v>75</v>
      </c>
      <c r="I80" s="3">
        <v>15.9</v>
      </c>
    </row>
    <row r="81" spans="1:9" x14ac:dyDescent="0.25">
      <c r="A81" t="s">
        <v>10</v>
      </c>
      <c r="B81">
        <v>2</v>
      </c>
      <c r="C81" s="8" t="s">
        <v>91</v>
      </c>
    </row>
    <row r="82" spans="1:9" x14ac:dyDescent="0.25">
      <c r="A82" t="s">
        <v>10</v>
      </c>
      <c r="B82">
        <v>2</v>
      </c>
      <c r="C82" s="8" t="s">
        <v>92</v>
      </c>
    </row>
    <row r="83" spans="1:9" x14ac:dyDescent="0.25">
      <c r="A83" t="s">
        <v>10</v>
      </c>
      <c r="B83">
        <v>2</v>
      </c>
      <c r="C83" s="8" t="s">
        <v>93</v>
      </c>
    </row>
    <row r="84" spans="1:9" x14ac:dyDescent="0.25">
      <c r="A84" t="s">
        <v>10</v>
      </c>
      <c r="B84">
        <v>2</v>
      </c>
      <c r="C84" s="8" t="s">
        <v>94</v>
      </c>
      <c r="D84" s="3">
        <v>-30.5</v>
      </c>
      <c r="E84" s="3">
        <v>82.2</v>
      </c>
      <c r="F84" s="3">
        <v>91.3</v>
      </c>
      <c r="G84" s="2">
        <v>0.46</v>
      </c>
      <c r="H84" s="4">
        <v>-20</v>
      </c>
      <c r="I84" s="3">
        <v>25.3</v>
      </c>
    </row>
    <row r="85" spans="1:9" x14ac:dyDescent="0.25">
      <c r="A85" t="s">
        <v>10</v>
      </c>
      <c r="B85">
        <v>2</v>
      </c>
      <c r="C85" s="8" t="s">
        <v>95</v>
      </c>
      <c r="D85" s="3">
        <v>-73.099999999999994</v>
      </c>
      <c r="E85" s="3">
        <v>164.6</v>
      </c>
      <c r="F85" s="3">
        <v>182.4</v>
      </c>
      <c r="G85" s="2">
        <v>0.91</v>
      </c>
      <c r="H85" s="4">
        <v>-24</v>
      </c>
      <c r="I85" s="3">
        <v>28.9</v>
      </c>
    </row>
    <row r="86" spans="1:9" x14ac:dyDescent="0.25">
      <c r="A86" t="s">
        <v>10</v>
      </c>
      <c r="B86">
        <v>2</v>
      </c>
      <c r="C86" s="8" t="s">
        <v>96</v>
      </c>
    </row>
    <row r="87" spans="1:9" x14ac:dyDescent="0.25">
      <c r="A87" t="s">
        <v>10</v>
      </c>
      <c r="B87">
        <v>2</v>
      </c>
      <c r="C87" s="8" t="s">
        <v>97</v>
      </c>
    </row>
    <row r="88" spans="1:9" x14ac:dyDescent="0.25">
      <c r="A88" t="s">
        <v>10</v>
      </c>
      <c r="B88">
        <v>2</v>
      </c>
      <c r="C88" s="8" t="s">
        <v>98</v>
      </c>
    </row>
    <row r="89" spans="1:9" x14ac:dyDescent="0.25">
      <c r="A89" t="s">
        <v>10</v>
      </c>
      <c r="B89">
        <v>2</v>
      </c>
      <c r="C89" s="8" t="s">
        <v>99</v>
      </c>
    </row>
    <row r="90" spans="1:9" x14ac:dyDescent="0.25">
      <c r="A90" t="s">
        <v>10</v>
      </c>
      <c r="B90">
        <v>2</v>
      </c>
      <c r="C90" s="8" t="s">
        <v>100</v>
      </c>
    </row>
    <row r="91" spans="1:9" x14ac:dyDescent="0.25">
      <c r="A91" t="s">
        <v>10</v>
      </c>
      <c r="B91">
        <v>2</v>
      </c>
      <c r="C91" s="8" t="s">
        <v>101</v>
      </c>
    </row>
    <row r="92" spans="1:9" x14ac:dyDescent="0.25">
      <c r="A92" t="s">
        <v>10</v>
      </c>
      <c r="B92">
        <v>2</v>
      </c>
      <c r="C92" s="8" t="s">
        <v>102</v>
      </c>
    </row>
    <row r="93" spans="1:9" x14ac:dyDescent="0.25">
      <c r="A93" t="s">
        <v>10</v>
      </c>
      <c r="B93">
        <v>2</v>
      </c>
      <c r="C93" s="8" t="s">
        <v>103</v>
      </c>
    </row>
    <row r="94" spans="1:9" x14ac:dyDescent="0.25">
      <c r="A94" t="s">
        <v>10</v>
      </c>
      <c r="B94">
        <v>2</v>
      </c>
      <c r="C94" s="8" t="s">
        <v>104</v>
      </c>
    </row>
    <row r="95" spans="1:9" x14ac:dyDescent="0.25">
      <c r="A95" t="s">
        <v>10</v>
      </c>
      <c r="B95">
        <v>2</v>
      </c>
      <c r="C95" s="8" t="s">
        <v>105</v>
      </c>
    </row>
    <row r="96" spans="1:9" x14ac:dyDescent="0.25">
      <c r="A96" t="s">
        <v>10</v>
      </c>
      <c r="B96">
        <v>2</v>
      </c>
      <c r="C96" s="8" t="s">
        <v>106</v>
      </c>
    </row>
    <row r="97" spans="1:9" x14ac:dyDescent="0.25">
      <c r="A97" t="s">
        <v>10</v>
      </c>
      <c r="B97">
        <v>2</v>
      </c>
      <c r="C97" s="8" t="s">
        <v>107</v>
      </c>
    </row>
    <row r="98" spans="1:9" x14ac:dyDescent="0.25">
      <c r="A98" t="s">
        <v>10</v>
      </c>
      <c r="B98">
        <v>2</v>
      </c>
      <c r="C98" s="8" t="s">
        <v>108</v>
      </c>
    </row>
    <row r="99" spans="1:9" x14ac:dyDescent="0.25">
      <c r="A99" t="s">
        <v>10</v>
      </c>
      <c r="B99">
        <v>2</v>
      </c>
      <c r="C99" s="8" t="s">
        <v>109</v>
      </c>
    </row>
    <row r="100" spans="1:9" x14ac:dyDescent="0.25">
      <c r="A100" t="s">
        <v>10</v>
      </c>
      <c r="B100">
        <v>2</v>
      </c>
      <c r="C100" s="8" t="s">
        <v>110</v>
      </c>
    </row>
    <row r="101" spans="1:9" x14ac:dyDescent="0.25">
      <c r="A101" t="s">
        <v>10</v>
      </c>
      <c r="B101">
        <v>2</v>
      </c>
      <c r="C101" s="8" t="s">
        <v>111</v>
      </c>
    </row>
    <row r="102" spans="1:9" x14ac:dyDescent="0.25">
      <c r="A102" t="s">
        <v>10</v>
      </c>
      <c r="B102">
        <v>2</v>
      </c>
      <c r="C102" s="8" t="s">
        <v>112</v>
      </c>
    </row>
    <row r="103" spans="1:9" x14ac:dyDescent="0.25">
      <c r="A103" t="s">
        <v>10</v>
      </c>
      <c r="B103">
        <v>2</v>
      </c>
      <c r="C103" s="8" t="s">
        <v>113</v>
      </c>
    </row>
    <row r="104" spans="1:9" x14ac:dyDescent="0.25">
      <c r="A104" t="s">
        <v>10</v>
      </c>
      <c r="B104">
        <v>2</v>
      </c>
      <c r="C104" s="8" t="s">
        <v>114</v>
      </c>
    </row>
    <row r="105" spans="1:9" x14ac:dyDescent="0.25">
      <c r="A105" t="s">
        <v>10</v>
      </c>
      <c r="B105">
        <v>2</v>
      </c>
      <c r="C105" s="8" t="s">
        <v>115</v>
      </c>
    </row>
    <row r="106" spans="1:9" x14ac:dyDescent="0.25">
      <c r="A106" t="s">
        <v>10</v>
      </c>
      <c r="B106">
        <v>3</v>
      </c>
      <c r="C106" s="8" t="s">
        <v>64</v>
      </c>
      <c r="D106" s="3">
        <v>54.3</v>
      </c>
      <c r="E106" s="3">
        <v>128.30000000000001</v>
      </c>
      <c r="F106" s="3">
        <v>156.5</v>
      </c>
      <c r="G106" s="2">
        <v>0.78</v>
      </c>
      <c r="H106" s="4">
        <v>23</v>
      </c>
      <c r="I106" s="3">
        <v>71.400000000000006</v>
      </c>
    </row>
    <row r="107" spans="1:9" x14ac:dyDescent="0.25">
      <c r="A107" t="s">
        <v>10</v>
      </c>
      <c r="B107">
        <v>3</v>
      </c>
      <c r="C107" s="8" t="s">
        <v>65</v>
      </c>
      <c r="D107" s="3">
        <v>38.4</v>
      </c>
      <c r="E107" s="3">
        <v>114.5</v>
      </c>
      <c r="F107" s="3">
        <v>130.9</v>
      </c>
      <c r="G107" s="2">
        <v>0.65</v>
      </c>
      <c r="H107" s="4">
        <v>19</v>
      </c>
      <c r="I107" s="3">
        <v>50.4</v>
      </c>
    </row>
    <row r="108" spans="1:9" x14ac:dyDescent="0.25">
      <c r="A108" t="s">
        <v>10</v>
      </c>
      <c r="B108">
        <v>3</v>
      </c>
      <c r="C108" s="8" t="s">
        <v>66</v>
      </c>
    </row>
    <row r="109" spans="1:9" x14ac:dyDescent="0.25">
      <c r="A109" t="s">
        <v>10</v>
      </c>
      <c r="B109">
        <v>3</v>
      </c>
      <c r="C109" s="8" t="s">
        <v>67</v>
      </c>
    </row>
    <row r="110" spans="1:9" x14ac:dyDescent="0.25">
      <c r="A110" t="s">
        <v>10</v>
      </c>
      <c r="B110">
        <v>3</v>
      </c>
      <c r="C110" s="8" t="s">
        <v>68</v>
      </c>
    </row>
    <row r="111" spans="1:9" x14ac:dyDescent="0.25">
      <c r="A111" t="s">
        <v>10</v>
      </c>
      <c r="B111">
        <v>3</v>
      </c>
      <c r="C111" s="8" t="s">
        <v>69</v>
      </c>
    </row>
    <row r="112" spans="1:9" x14ac:dyDescent="0.25">
      <c r="A112" t="s">
        <v>10</v>
      </c>
      <c r="B112">
        <v>3</v>
      </c>
      <c r="C112" s="8" t="s">
        <v>70</v>
      </c>
      <c r="D112" s="3">
        <v>-34.1</v>
      </c>
      <c r="E112" s="3">
        <v>2.6</v>
      </c>
      <c r="F112" s="3">
        <v>35.799999999999997</v>
      </c>
      <c r="G112" s="2">
        <v>0.18</v>
      </c>
      <c r="H112" s="4">
        <v>-86</v>
      </c>
      <c r="I112" s="3">
        <v>10.5</v>
      </c>
    </row>
    <row r="113" spans="1:3" x14ac:dyDescent="0.25">
      <c r="A113" t="s">
        <v>10</v>
      </c>
      <c r="B113">
        <v>3</v>
      </c>
      <c r="C113" s="8" t="s">
        <v>71</v>
      </c>
    </row>
    <row r="114" spans="1:3" x14ac:dyDescent="0.25">
      <c r="A114" t="s">
        <v>10</v>
      </c>
      <c r="B114">
        <v>3</v>
      </c>
      <c r="C114" s="8" t="s">
        <v>72</v>
      </c>
    </row>
    <row r="115" spans="1:3" x14ac:dyDescent="0.25">
      <c r="A115" t="s">
        <v>10</v>
      </c>
      <c r="B115">
        <v>3</v>
      </c>
      <c r="C115" s="8" t="s">
        <v>73</v>
      </c>
    </row>
    <row r="116" spans="1:3" x14ac:dyDescent="0.25">
      <c r="A116" t="s">
        <v>10</v>
      </c>
      <c r="B116">
        <v>3</v>
      </c>
      <c r="C116" s="8" t="s">
        <v>74</v>
      </c>
    </row>
    <row r="117" spans="1:3" x14ac:dyDescent="0.25">
      <c r="A117" t="s">
        <v>10</v>
      </c>
      <c r="B117">
        <v>3</v>
      </c>
      <c r="C117" s="8" t="s">
        <v>75</v>
      </c>
    </row>
    <row r="118" spans="1:3" x14ac:dyDescent="0.25">
      <c r="A118" t="s">
        <v>10</v>
      </c>
      <c r="B118">
        <v>3</v>
      </c>
      <c r="C118" s="8" t="s">
        <v>76</v>
      </c>
    </row>
    <row r="119" spans="1:3" x14ac:dyDescent="0.25">
      <c r="A119" t="s">
        <v>10</v>
      </c>
      <c r="B119">
        <v>3</v>
      </c>
      <c r="C119" s="8" t="s">
        <v>77</v>
      </c>
    </row>
    <row r="120" spans="1:3" x14ac:dyDescent="0.25">
      <c r="A120" t="s">
        <v>10</v>
      </c>
      <c r="B120">
        <v>3</v>
      </c>
      <c r="C120" s="8" t="s">
        <v>78</v>
      </c>
    </row>
    <row r="121" spans="1:3" x14ac:dyDescent="0.25">
      <c r="A121" t="s">
        <v>10</v>
      </c>
      <c r="B121">
        <v>3</v>
      </c>
      <c r="C121" s="8" t="s">
        <v>79</v>
      </c>
    </row>
    <row r="122" spans="1:3" x14ac:dyDescent="0.25">
      <c r="A122" t="s">
        <v>10</v>
      </c>
      <c r="B122">
        <v>3</v>
      </c>
      <c r="C122" s="8" t="s">
        <v>80</v>
      </c>
    </row>
    <row r="123" spans="1:3" x14ac:dyDescent="0.25">
      <c r="A123" t="s">
        <v>10</v>
      </c>
      <c r="B123">
        <v>3</v>
      </c>
      <c r="C123" s="8" t="s">
        <v>81</v>
      </c>
    </row>
    <row r="124" spans="1:3" x14ac:dyDescent="0.25">
      <c r="A124" t="s">
        <v>10</v>
      </c>
      <c r="B124">
        <v>3</v>
      </c>
      <c r="C124" s="8" t="s">
        <v>82</v>
      </c>
    </row>
    <row r="125" spans="1:3" x14ac:dyDescent="0.25">
      <c r="A125" t="s">
        <v>10</v>
      </c>
      <c r="B125">
        <v>3</v>
      </c>
      <c r="C125" s="8" t="s">
        <v>83</v>
      </c>
    </row>
    <row r="126" spans="1:3" x14ac:dyDescent="0.25">
      <c r="A126" t="s">
        <v>10</v>
      </c>
      <c r="B126">
        <v>3</v>
      </c>
      <c r="C126" s="8" t="s">
        <v>84</v>
      </c>
    </row>
    <row r="127" spans="1:3" x14ac:dyDescent="0.25">
      <c r="A127" t="s">
        <v>10</v>
      </c>
      <c r="B127">
        <v>3</v>
      </c>
      <c r="C127" s="8" t="s">
        <v>85</v>
      </c>
    </row>
    <row r="128" spans="1:3" x14ac:dyDescent="0.25">
      <c r="A128" t="s">
        <v>10</v>
      </c>
      <c r="B128">
        <v>3</v>
      </c>
      <c r="C128" s="8" t="s">
        <v>86</v>
      </c>
    </row>
    <row r="129" spans="1:9" x14ac:dyDescent="0.25">
      <c r="A129" t="s">
        <v>10</v>
      </c>
      <c r="B129">
        <v>3</v>
      </c>
      <c r="C129" s="8" t="s">
        <v>87</v>
      </c>
    </row>
    <row r="130" spans="1:9" x14ac:dyDescent="0.25">
      <c r="A130" t="s">
        <v>10</v>
      </c>
      <c r="B130">
        <v>3</v>
      </c>
      <c r="C130" s="8" t="s">
        <v>88</v>
      </c>
    </row>
    <row r="131" spans="1:9" x14ac:dyDescent="0.25">
      <c r="A131" t="s">
        <v>10</v>
      </c>
      <c r="B131">
        <v>3</v>
      </c>
      <c r="C131" s="8" t="s">
        <v>89</v>
      </c>
    </row>
    <row r="132" spans="1:9" x14ac:dyDescent="0.25">
      <c r="A132" t="s">
        <v>10</v>
      </c>
      <c r="B132">
        <v>3</v>
      </c>
      <c r="C132" s="8" t="s">
        <v>90</v>
      </c>
      <c r="D132" s="3">
        <v>46.5</v>
      </c>
      <c r="E132" s="3">
        <v>13.2</v>
      </c>
      <c r="F132" s="3">
        <v>54.5</v>
      </c>
      <c r="G132" s="2">
        <v>0.27</v>
      </c>
      <c r="H132" s="4">
        <v>74</v>
      </c>
      <c r="I132" s="3">
        <v>25.3</v>
      </c>
    </row>
    <row r="133" spans="1:9" x14ac:dyDescent="0.25">
      <c r="A133" t="s">
        <v>10</v>
      </c>
      <c r="B133">
        <v>3</v>
      </c>
      <c r="C133" s="8" t="s">
        <v>91</v>
      </c>
    </row>
    <row r="134" spans="1:9" x14ac:dyDescent="0.25">
      <c r="A134" t="s">
        <v>10</v>
      </c>
      <c r="B134">
        <v>3</v>
      </c>
      <c r="C134" s="8" t="s">
        <v>92</v>
      </c>
    </row>
    <row r="135" spans="1:9" x14ac:dyDescent="0.25">
      <c r="A135" t="s">
        <v>10</v>
      </c>
      <c r="B135">
        <v>3</v>
      </c>
      <c r="C135" s="8" t="s">
        <v>93</v>
      </c>
    </row>
    <row r="136" spans="1:9" x14ac:dyDescent="0.25">
      <c r="A136" t="s">
        <v>10</v>
      </c>
      <c r="B136">
        <v>3</v>
      </c>
      <c r="C136" s="8" t="s">
        <v>94</v>
      </c>
      <c r="D136" s="3">
        <v>-61.9</v>
      </c>
      <c r="E136" s="3">
        <v>140.6</v>
      </c>
      <c r="F136" s="3">
        <v>171.7</v>
      </c>
      <c r="G136" s="2">
        <v>0.86</v>
      </c>
      <c r="H136" s="4">
        <v>-24</v>
      </c>
      <c r="I136" s="3">
        <v>76.7</v>
      </c>
    </row>
    <row r="137" spans="1:9" x14ac:dyDescent="0.25">
      <c r="A137" t="s">
        <v>10</v>
      </c>
      <c r="B137">
        <v>3</v>
      </c>
      <c r="C137" s="8" t="s">
        <v>95</v>
      </c>
      <c r="D137" s="3">
        <v>-46.3</v>
      </c>
      <c r="E137" s="3">
        <v>96.5</v>
      </c>
      <c r="F137" s="3">
        <v>110.8</v>
      </c>
      <c r="G137" s="2">
        <v>0.55000000000000004</v>
      </c>
      <c r="H137" s="4">
        <v>-26</v>
      </c>
      <c r="I137" s="3">
        <v>28.5</v>
      </c>
    </row>
    <row r="138" spans="1:9" x14ac:dyDescent="0.25">
      <c r="A138" t="s">
        <v>10</v>
      </c>
      <c r="B138">
        <v>3</v>
      </c>
      <c r="C138" s="8" t="s">
        <v>96</v>
      </c>
    </row>
    <row r="139" spans="1:9" x14ac:dyDescent="0.25">
      <c r="A139" t="s">
        <v>10</v>
      </c>
      <c r="B139">
        <v>3</v>
      </c>
      <c r="C139" s="8" t="s">
        <v>97</v>
      </c>
    </row>
    <row r="140" spans="1:9" x14ac:dyDescent="0.25">
      <c r="A140" t="s">
        <v>10</v>
      </c>
      <c r="B140">
        <v>3</v>
      </c>
      <c r="C140" s="8" t="s">
        <v>98</v>
      </c>
    </row>
    <row r="141" spans="1:9" x14ac:dyDescent="0.25">
      <c r="A141" t="s">
        <v>10</v>
      </c>
      <c r="B141">
        <v>3</v>
      </c>
      <c r="C141" s="8" t="s">
        <v>99</v>
      </c>
    </row>
    <row r="142" spans="1:9" x14ac:dyDescent="0.25">
      <c r="A142" t="s">
        <v>10</v>
      </c>
      <c r="B142">
        <v>3</v>
      </c>
      <c r="C142" s="8" t="s">
        <v>100</v>
      </c>
    </row>
    <row r="143" spans="1:9" x14ac:dyDescent="0.25">
      <c r="A143" t="s">
        <v>10</v>
      </c>
      <c r="B143">
        <v>3</v>
      </c>
      <c r="C143" s="8" t="s">
        <v>101</v>
      </c>
    </row>
    <row r="144" spans="1:9" x14ac:dyDescent="0.25">
      <c r="A144" t="s">
        <v>10</v>
      </c>
      <c r="B144">
        <v>3</v>
      </c>
      <c r="C144" s="8" t="s">
        <v>102</v>
      </c>
    </row>
    <row r="145" spans="1:9" x14ac:dyDescent="0.25">
      <c r="A145" t="s">
        <v>10</v>
      </c>
      <c r="B145">
        <v>3</v>
      </c>
      <c r="C145" s="8" t="s">
        <v>103</v>
      </c>
    </row>
    <row r="146" spans="1:9" x14ac:dyDescent="0.25">
      <c r="A146" t="s">
        <v>10</v>
      </c>
      <c r="B146">
        <v>3</v>
      </c>
      <c r="C146" s="8" t="s">
        <v>104</v>
      </c>
    </row>
    <row r="147" spans="1:9" x14ac:dyDescent="0.25">
      <c r="A147" t="s">
        <v>10</v>
      </c>
      <c r="B147">
        <v>3</v>
      </c>
      <c r="C147" s="8" t="s">
        <v>105</v>
      </c>
    </row>
    <row r="148" spans="1:9" x14ac:dyDescent="0.25">
      <c r="A148" t="s">
        <v>10</v>
      </c>
      <c r="B148">
        <v>3</v>
      </c>
      <c r="C148" s="8" t="s">
        <v>106</v>
      </c>
    </row>
    <row r="149" spans="1:9" x14ac:dyDescent="0.25">
      <c r="A149" t="s">
        <v>10</v>
      </c>
      <c r="B149">
        <v>3</v>
      </c>
      <c r="C149" s="8" t="s">
        <v>107</v>
      </c>
    </row>
    <row r="150" spans="1:9" x14ac:dyDescent="0.25">
      <c r="A150" t="s">
        <v>10</v>
      </c>
      <c r="B150">
        <v>3</v>
      </c>
      <c r="C150" s="8" t="s">
        <v>108</v>
      </c>
    </row>
    <row r="151" spans="1:9" x14ac:dyDescent="0.25">
      <c r="A151" t="s">
        <v>10</v>
      </c>
      <c r="B151">
        <v>3</v>
      </c>
      <c r="C151" s="8" t="s">
        <v>109</v>
      </c>
    </row>
    <row r="152" spans="1:9" x14ac:dyDescent="0.25">
      <c r="A152" t="s">
        <v>10</v>
      </c>
      <c r="B152">
        <v>3</v>
      </c>
      <c r="C152" s="8" t="s">
        <v>110</v>
      </c>
    </row>
    <row r="153" spans="1:9" x14ac:dyDescent="0.25">
      <c r="A153" t="s">
        <v>10</v>
      </c>
      <c r="B153">
        <v>3</v>
      </c>
      <c r="C153" s="8" t="s">
        <v>111</v>
      </c>
    </row>
    <row r="154" spans="1:9" x14ac:dyDescent="0.25">
      <c r="A154" t="s">
        <v>10</v>
      </c>
      <c r="B154">
        <v>3</v>
      </c>
      <c r="C154" s="8" t="s">
        <v>112</v>
      </c>
    </row>
    <row r="155" spans="1:9" x14ac:dyDescent="0.25">
      <c r="A155" t="s">
        <v>10</v>
      </c>
      <c r="B155">
        <v>3</v>
      </c>
      <c r="C155" s="8" t="s">
        <v>113</v>
      </c>
    </row>
    <row r="156" spans="1:9" x14ac:dyDescent="0.25">
      <c r="A156" t="s">
        <v>10</v>
      </c>
      <c r="B156">
        <v>3</v>
      </c>
      <c r="C156" s="8" t="s">
        <v>114</v>
      </c>
    </row>
    <row r="157" spans="1:9" x14ac:dyDescent="0.25">
      <c r="A157" t="s">
        <v>10</v>
      </c>
      <c r="B157">
        <v>3</v>
      </c>
      <c r="C157" s="8" t="s">
        <v>115</v>
      </c>
    </row>
    <row r="158" spans="1:9" x14ac:dyDescent="0.25">
      <c r="A158" t="s">
        <v>10</v>
      </c>
      <c r="B158">
        <v>4</v>
      </c>
      <c r="C158" s="8" t="s">
        <v>64</v>
      </c>
      <c r="D158" s="3">
        <v>49.1</v>
      </c>
      <c r="E158" s="3">
        <v>113.8</v>
      </c>
      <c r="F158" s="3">
        <v>131.69999999999999</v>
      </c>
      <c r="G158" s="2">
        <v>0.66</v>
      </c>
      <c r="H158" s="4">
        <v>23</v>
      </c>
      <c r="I158" s="3">
        <v>44.2</v>
      </c>
    </row>
    <row r="159" spans="1:9" x14ac:dyDescent="0.25">
      <c r="A159" t="s">
        <v>10</v>
      </c>
      <c r="B159">
        <v>4</v>
      </c>
      <c r="C159" s="8" t="s">
        <v>65</v>
      </c>
      <c r="D159" s="3">
        <v>46.7</v>
      </c>
      <c r="E159" s="3">
        <v>135.19999999999999</v>
      </c>
      <c r="F159" s="3">
        <v>149.1</v>
      </c>
      <c r="G159" s="2">
        <v>0.75</v>
      </c>
      <c r="H159" s="4">
        <v>19</v>
      </c>
      <c r="I159" s="3">
        <v>42.1</v>
      </c>
    </row>
    <row r="160" spans="1:9" x14ac:dyDescent="0.25">
      <c r="A160" t="s">
        <v>10</v>
      </c>
      <c r="B160">
        <v>4</v>
      </c>
      <c r="C160" s="8" t="s">
        <v>66</v>
      </c>
    </row>
    <row r="161" spans="1:9" x14ac:dyDescent="0.25">
      <c r="A161" t="s">
        <v>10</v>
      </c>
      <c r="B161">
        <v>4</v>
      </c>
      <c r="C161" s="8" t="s">
        <v>67</v>
      </c>
    </row>
    <row r="162" spans="1:9" x14ac:dyDescent="0.25">
      <c r="A162" t="s">
        <v>10</v>
      </c>
      <c r="B162">
        <v>4</v>
      </c>
      <c r="C162" s="8" t="s">
        <v>68</v>
      </c>
    </row>
    <row r="163" spans="1:9" x14ac:dyDescent="0.25">
      <c r="A163" t="s">
        <v>10</v>
      </c>
      <c r="B163">
        <v>4</v>
      </c>
      <c r="C163" s="8" t="s">
        <v>69</v>
      </c>
    </row>
    <row r="164" spans="1:9" x14ac:dyDescent="0.25">
      <c r="A164" t="s">
        <v>10</v>
      </c>
      <c r="B164">
        <v>4</v>
      </c>
      <c r="C164" s="8" t="s">
        <v>70</v>
      </c>
      <c r="D164" s="3">
        <v>-43.4</v>
      </c>
      <c r="E164" s="3">
        <v>4.2</v>
      </c>
      <c r="F164" s="3">
        <v>44.6</v>
      </c>
      <c r="G164" s="2">
        <v>0.22</v>
      </c>
      <c r="H164" s="4">
        <v>-86</v>
      </c>
      <c r="I164" s="3">
        <v>9.6</v>
      </c>
    </row>
    <row r="165" spans="1:9" x14ac:dyDescent="0.25">
      <c r="A165" t="s">
        <v>10</v>
      </c>
      <c r="B165">
        <v>4</v>
      </c>
      <c r="C165" s="8" t="s">
        <v>71</v>
      </c>
    </row>
    <row r="166" spans="1:9" x14ac:dyDescent="0.25">
      <c r="A166" t="s">
        <v>10</v>
      </c>
      <c r="B166">
        <v>4</v>
      </c>
      <c r="C166" s="8" t="s">
        <v>72</v>
      </c>
    </row>
    <row r="167" spans="1:9" x14ac:dyDescent="0.25">
      <c r="A167" t="s">
        <v>10</v>
      </c>
      <c r="B167">
        <v>4</v>
      </c>
      <c r="C167" s="8" t="s">
        <v>73</v>
      </c>
    </row>
    <row r="168" spans="1:9" x14ac:dyDescent="0.25">
      <c r="A168" t="s">
        <v>10</v>
      </c>
      <c r="B168">
        <v>4</v>
      </c>
      <c r="C168" s="8" t="s">
        <v>74</v>
      </c>
    </row>
    <row r="169" spans="1:9" x14ac:dyDescent="0.25">
      <c r="A169" t="s">
        <v>10</v>
      </c>
      <c r="B169">
        <v>4</v>
      </c>
      <c r="C169" s="8" t="s">
        <v>75</v>
      </c>
    </row>
    <row r="170" spans="1:9" x14ac:dyDescent="0.25">
      <c r="A170" t="s">
        <v>10</v>
      </c>
      <c r="B170">
        <v>4</v>
      </c>
      <c r="C170" s="8" t="s">
        <v>76</v>
      </c>
    </row>
    <row r="171" spans="1:9" x14ac:dyDescent="0.25">
      <c r="A171" t="s">
        <v>10</v>
      </c>
      <c r="B171">
        <v>4</v>
      </c>
      <c r="C171" s="8" t="s">
        <v>77</v>
      </c>
    </row>
    <row r="172" spans="1:9" x14ac:dyDescent="0.25">
      <c r="A172" t="s">
        <v>10</v>
      </c>
      <c r="B172">
        <v>4</v>
      </c>
      <c r="C172" s="8" t="s">
        <v>78</v>
      </c>
    </row>
    <row r="173" spans="1:9" x14ac:dyDescent="0.25">
      <c r="A173" t="s">
        <v>10</v>
      </c>
      <c r="B173">
        <v>4</v>
      </c>
      <c r="C173" s="8" t="s">
        <v>79</v>
      </c>
    </row>
    <row r="174" spans="1:9" x14ac:dyDescent="0.25">
      <c r="A174" t="s">
        <v>10</v>
      </c>
      <c r="B174">
        <v>4</v>
      </c>
      <c r="C174" s="8" t="s">
        <v>80</v>
      </c>
    </row>
    <row r="175" spans="1:9" x14ac:dyDescent="0.25">
      <c r="A175" t="s">
        <v>10</v>
      </c>
      <c r="B175">
        <v>4</v>
      </c>
      <c r="C175" s="8" t="s">
        <v>81</v>
      </c>
    </row>
    <row r="176" spans="1:9" x14ac:dyDescent="0.25">
      <c r="A176" t="s">
        <v>10</v>
      </c>
      <c r="B176">
        <v>4</v>
      </c>
      <c r="C176" s="8" t="s">
        <v>82</v>
      </c>
    </row>
    <row r="177" spans="1:9" x14ac:dyDescent="0.25">
      <c r="A177" t="s">
        <v>10</v>
      </c>
      <c r="B177">
        <v>4</v>
      </c>
      <c r="C177" s="8" t="s">
        <v>83</v>
      </c>
    </row>
    <row r="178" spans="1:9" x14ac:dyDescent="0.25">
      <c r="A178" t="s">
        <v>10</v>
      </c>
      <c r="B178">
        <v>4</v>
      </c>
      <c r="C178" s="8" t="s">
        <v>84</v>
      </c>
    </row>
    <row r="179" spans="1:9" x14ac:dyDescent="0.25">
      <c r="A179" t="s">
        <v>10</v>
      </c>
      <c r="B179">
        <v>4</v>
      </c>
      <c r="C179" s="8" t="s">
        <v>85</v>
      </c>
    </row>
    <row r="180" spans="1:9" x14ac:dyDescent="0.25">
      <c r="A180" t="s">
        <v>10</v>
      </c>
      <c r="B180">
        <v>4</v>
      </c>
      <c r="C180" s="8" t="s">
        <v>86</v>
      </c>
    </row>
    <row r="181" spans="1:9" x14ac:dyDescent="0.25">
      <c r="A181" t="s">
        <v>10</v>
      </c>
      <c r="B181">
        <v>4</v>
      </c>
      <c r="C181" s="8" t="s">
        <v>87</v>
      </c>
    </row>
    <row r="182" spans="1:9" x14ac:dyDescent="0.25">
      <c r="A182" t="s">
        <v>10</v>
      </c>
      <c r="B182">
        <v>4</v>
      </c>
      <c r="C182" s="8" t="s">
        <v>88</v>
      </c>
    </row>
    <row r="183" spans="1:9" x14ac:dyDescent="0.25">
      <c r="A183" t="s">
        <v>10</v>
      </c>
      <c r="B183">
        <v>4</v>
      </c>
      <c r="C183" s="8" t="s">
        <v>89</v>
      </c>
    </row>
    <row r="184" spans="1:9" x14ac:dyDescent="0.25">
      <c r="A184" t="s">
        <v>10</v>
      </c>
      <c r="B184">
        <v>4</v>
      </c>
      <c r="C184" s="8" t="s">
        <v>90</v>
      </c>
      <c r="D184" s="3">
        <v>53.6</v>
      </c>
      <c r="E184" s="3">
        <v>14.3</v>
      </c>
      <c r="F184" s="3">
        <v>59</v>
      </c>
      <c r="G184" s="2">
        <v>0.3</v>
      </c>
      <c r="H184" s="4">
        <v>75</v>
      </c>
      <c r="I184" s="3">
        <v>20.100000000000001</v>
      </c>
    </row>
    <row r="185" spans="1:9" x14ac:dyDescent="0.25">
      <c r="A185" t="s">
        <v>10</v>
      </c>
      <c r="B185">
        <v>4</v>
      </c>
      <c r="C185" s="8" t="s">
        <v>91</v>
      </c>
    </row>
    <row r="186" spans="1:9" x14ac:dyDescent="0.25">
      <c r="A186" t="s">
        <v>10</v>
      </c>
      <c r="B186">
        <v>4</v>
      </c>
      <c r="C186" s="8" t="s">
        <v>92</v>
      </c>
    </row>
    <row r="187" spans="1:9" x14ac:dyDescent="0.25">
      <c r="A187" t="s">
        <v>10</v>
      </c>
      <c r="B187">
        <v>4</v>
      </c>
      <c r="C187" s="8" t="s">
        <v>93</v>
      </c>
    </row>
    <row r="188" spans="1:9" x14ac:dyDescent="0.25">
      <c r="A188" t="s">
        <v>10</v>
      </c>
      <c r="B188">
        <v>4</v>
      </c>
      <c r="C188" s="8" t="s">
        <v>94</v>
      </c>
      <c r="D188" s="3">
        <v>-38.700000000000003</v>
      </c>
      <c r="E188" s="3">
        <v>100.8</v>
      </c>
      <c r="F188" s="3">
        <v>114.3</v>
      </c>
      <c r="G188" s="2">
        <v>0.56999999999999995</v>
      </c>
      <c r="H188" s="4">
        <v>-21</v>
      </c>
      <c r="I188" s="3">
        <v>37.700000000000003</v>
      </c>
    </row>
    <row r="189" spans="1:9" x14ac:dyDescent="0.25">
      <c r="A189" t="s">
        <v>10</v>
      </c>
      <c r="B189">
        <v>4</v>
      </c>
      <c r="C189" s="8" t="s">
        <v>95</v>
      </c>
      <c r="D189" s="3">
        <v>-67.2</v>
      </c>
      <c r="E189" s="3">
        <v>149.30000000000001</v>
      </c>
      <c r="F189" s="3">
        <v>166.7</v>
      </c>
      <c r="G189" s="2">
        <v>0.83</v>
      </c>
      <c r="H189" s="4">
        <v>-24</v>
      </c>
      <c r="I189" s="3">
        <v>31.3</v>
      </c>
    </row>
    <row r="190" spans="1:9" x14ac:dyDescent="0.25">
      <c r="A190" t="s">
        <v>10</v>
      </c>
      <c r="B190">
        <v>4</v>
      </c>
      <c r="C190" s="8" t="s">
        <v>96</v>
      </c>
    </row>
    <row r="191" spans="1:9" x14ac:dyDescent="0.25">
      <c r="A191" t="s">
        <v>10</v>
      </c>
      <c r="B191">
        <v>4</v>
      </c>
      <c r="C191" s="8" t="s">
        <v>97</v>
      </c>
    </row>
    <row r="192" spans="1:9" x14ac:dyDescent="0.25">
      <c r="A192" t="s">
        <v>10</v>
      </c>
      <c r="B192">
        <v>4</v>
      </c>
      <c r="C192" s="8" t="s">
        <v>98</v>
      </c>
    </row>
    <row r="193" spans="1:3" x14ac:dyDescent="0.25">
      <c r="A193" t="s">
        <v>10</v>
      </c>
      <c r="B193">
        <v>4</v>
      </c>
      <c r="C193" s="8" t="s">
        <v>99</v>
      </c>
    </row>
    <row r="194" spans="1:3" x14ac:dyDescent="0.25">
      <c r="A194" t="s">
        <v>10</v>
      </c>
      <c r="B194">
        <v>4</v>
      </c>
      <c r="C194" s="8" t="s">
        <v>100</v>
      </c>
    </row>
    <row r="195" spans="1:3" x14ac:dyDescent="0.25">
      <c r="A195" t="s">
        <v>10</v>
      </c>
      <c r="B195">
        <v>4</v>
      </c>
      <c r="C195" s="8" t="s">
        <v>101</v>
      </c>
    </row>
    <row r="196" spans="1:3" x14ac:dyDescent="0.25">
      <c r="A196" t="s">
        <v>10</v>
      </c>
      <c r="B196">
        <v>4</v>
      </c>
      <c r="C196" s="8" t="s">
        <v>102</v>
      </c>
    </row>
    <row r="197" spans="1:3" x14ac:dyDescent="0.25">
      <c r="A197" t="s">
        <v>10</v>
      </c>
      <c r="B197">
        <v>4</v>
      </c>
      <c r="C197" s="8" t="s">
        <v>103</v>
      </c>
    </row>
    <row r="198" spans="1:3" x14ac:dyDescent="0.25">
      <c r="A198" t="s">
        <v>10</v>
      </c>
      <c r="B198">
        <v>4</v>
      </c>
      <c r="C198" s="8" t="s">
        <v>104</v>
      </c>
    </row>
    <row r="199" spans="1:3" x14ac:dyDescent="0.25">
      <c r="A199" t="s">
        <v>10</v>
      </c>
      <c r="B199">
        <v>4</v>
      </c>
      <c r="C199" s="8" t="s">
        <v>105</v>
      </c>
    </row>
    <row r="200" spans="1:3" x14ac:dyDescent="0.25">
      <c r="A200" t="s">
        <v>10</v>
      </c>
      <c r="B200">
        <v>4</v>
      </c>
      <c r="C200" s="8" t="s">
        <v>106</v>
      </c>
    </row>
    <row r="201" spans="1:3" x14ac:dyDescent="0.25">
      <c r="A201" t="s">
        <v>10</v>
      </c>
      <c r="B201">
        <v>4</v>
      </c>
      <c r="C201" s="8" t="s">
        <v>107</v>
      </c>
    </row>
    <row r="202" spans="1:3" x14ac:dyDescent="0.25">
      <c r="A202" t="s">
        <v>10</v>
      </c>
      <c r="B202">
        <v>4</v>
      </c>
      <c r="C202" s="8" t="s">
        <v>108</v>
      </c>
    </row>
    <row r="203" spans="1:3" x14ac:dyDescent="0.25">
      <c r="A203" t="s">
        <v>10</v>
      </c>
      <c r="B203">
        <v>4</v>
      </c>
      <c r="C203" s="8" t="s">
        <v>109</v>
      </c>
    </row>
    <row r="204" spans="1:3" x14ac:dyDescent="0.25">
      <c r="A204" t="s">
        <v>10</v>
      </c>
      <c r="B204">
        <v>4</v>
      </c>
      <c r="C204" s="8" t="s">
        <v>110</v>
      </c>
    </row>
    <row r="205" spans="1:3" x14ac:dyDescent="0.25">
      <c r="A205" t="s">
        <v>10</v>
      </c>
      <c r="B205">
        <v>4</v>
      </c>
      <c r="C205" s="8" t="s">
        <v>111</v>
      </c>
    </row>
    <row r="206" spans="1:3" x14ac:dyDescent="0.25">
      <c r="A206" t="s">
        <v>10</v>
      </c>
      <c r="B206">
        <v>4</v>
      </c>
      <c r="C206" s="8" t="s">
        <v>112</v>
      </c>
    </row>
    <row r="207" spans="1:3" x14ac:dyDescent="0.25">
      <c r="A207" t="s">
        <v>10</v>
      </c>
      <c r="B207">
        <v>4</v>
      </c>
      <c r="C207" s="8" t="s">
        <v>113</v>
      </c>
    </row>
    <row r="208" spans="1:3" x14ac:dyDescent="0.25">
      <c r="A208" t="s">
        <v>10</v>
      </c>
      <c r="B208">
        <v>4</v>
      </c>
      <c r="C208" s="8" t="s">
        <v>114</v>
      </c>
    </row>
    <row r="209" spans="1:3" x14ac:dyDescent="0.25">
      <c r="A209" t="s">
        <v>10</v>
      </c>
      <c r="B209">
        <v>4</v>
      </c>
      <c r="C209" s="8" t="s">
        <v>115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selection activeCell="D14" sqref="D14"/>
    </sheetView>
  </sheetViews>
  <sheetFormatPr defaultRowHeight="15" x14ac:dyDescent="0.25"/>
  <sheetData>
    <row r="1" spans="1:14" x14ac:dyDescent="0.25">
      <c r="A1" s="1" t="s">
        <v>116</v>
      </c>
      <c r="B1" s="1" t="s">
        <v>117</v>
      </c>
      <c r="C1" s="1" t="s">
        <v>4</v>
      </c>
      <c r="D1" s="1" t="s">
        <v>118</v>
      </c>
      <c r="E1" s="1" t="s">
        <v>119</v>
      </c>
      <c r="F1" s="1" t="s">
        <v>120</v>
      </c>
      <c r="G1" s="1" t="s">
        <v>121</v>
      </c>
      <c r="H1" s="1" t="s">
        <v>122</v>
      </c>
      <c r="I1" s="1" t="s">
        <v>123</v>
      </c>
      <c r="J1" s="1" t="s">
        <v>2</v>
      </c>
      <c r="K1" s="1" t="s">
        <v>3</v>
      </c>
      <c r="L1" s="1" t="s">
        <v>6</v>
      </c>
      <c r="M1" s="1" t="s">
        <v>124</v>
      </c>
      <c r="N1" s="1" t="s">
        <v>125</v>
      </c>
    </row>
    <row r="2" spans="1:14" x14ac:dyDescent="0.25">
      <c r="A2" t="s">
        <v>126</v>
      </c>
      <c r="B2" s="5">
        <v>2.41</v>
      </c>
      <c r="C2" s="4">
        <v>46</v>
      </c>
      <c r="D2" s="4">
        <v>150</v>
      </c>
      <c r="E2" s="3">
        <v>0.5</v>
      </c>
      <c r="F2" s="4">
        <v>130</v>
      </c>
      <c r="J2" s="3">
        <v>0.6</v>
      </c>
      <c r="K2" s="3">
        <v>16</v>
      </c>
      <c r="L2" s="3">
        <v>0</v>
      </c>
      <c r="M2" s="3">
        <v>0.2</v>
      </c>
      <c r="N2" s="4">
        <v>2</v>
      </c>
    </row>
    <row r="3" spans="1:14" x14ac:dyDescent="0.25">
      <c r="A3" t="s">
        <v>126</v>
      </c>
      <c r="B3" s="5">
        <v>-1.53</v>
      </c>
      <c r="C3" s="4">
        <v>46</v>
      </c>
      <c r="D3" s="4">
        <v>30</v>
      </c>
      <c r="E3" s="3">
        <v>0.5</v>
      </c>
      <c r="F3" s="4">
        <v>130</v>
      </c>
      <c r="J3" s="3">
        <v>0.6</v>
      </c>
      <c r="K3" s="3">
        <v>16</v>
      </c>
      <c r="L3" s="3">
        <v>0</v>
      </c>
      <c r="M3" s="3">
        <v>0.2</v>
      </c>
      <c r="N3" s="4">
        <v>2</v>
      </c>
    </row>
    <row r="4" spans="1:14" x14ac:dyDescent="0.25">
      <c r="A4" t="s">
        <v>127</v>
      </c>
      <c r="B4" s="5">
        <v>0.03</v>
      </c>
      <c r="C4" s="4">
        <v>46</v>
      </c>
      <c r="D4" s="4">
        <v>90</v>
      </c>
      <c r="E4" s="3">
        <v>0.5</v>
      </c>
      <c r="F4" s="4">
        <v>130</v>
      </c>
      <c r="J4" s="3">
        <v>4</v>
      </c>
      <c r="K4" s="3">
        <v>14.5</v>
      </c>
      <c r="L4" s="3">
        <v>0</v>
      </c>
      <c r="M4" s="3">
        <v>0.2</v>
      </c>
      <c r="N4" s="4">
        <v>3</v>
      </c>
    </row>
    <row r="5" spans="1:14" x14ac:dyDescent="0.25">
      <c r="A5" t="s">
        <v>127</v>
      </c>
      <c r="B5" s="5">
        <v>-2.54</v>
      </c>
      <c r="C5" s="4">
        <v>46</v>
      </c>
      <c r="D5" s="4">
        <v>-90</v>
      </c>
      <c r="E5" s="3">
        <v>0.5</v>
      </c>
      <c r="F5" s="4">
        <v>130</v>
      </c>
      <c r="J5" s="3">
        <v>0.6</v>
      </c>
      <c r="K5" s="3">
        <v>16</v>
      </c>
      <c r="L5" s="3">
        <v>0</v>
      </c>
      <c r="M5" s="3">
        <v>0.2</v>
      </c>
      <c r="N5" s="4">
        <v>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17"/>
  <sheetViews>
    <sheetView workbookViewId="0">
      <selection activeCell="A2" sqref="A2:N17"/>
    </sheetView>
  </sheetViews>
  <sheetFormatPr defaultRowHeight="15" x14ac:dyDescent="0.25"/>
  <cols>
    <col min="2" max="2" width="15.85546875" customWidth="1"/>
    <col min="3" max="3" width="11.85546875" customWidth="1"/>
  </cols>
  <sheetData>
    <row r="1" spans="1:14" ht="45" x14ac:dyDescent="0.25">
      <c r="A1" s="40" t="s">
        <v>32</v>
      </c>
      <c r="B1" s="40" t="s">
        <v>128</v>
      </c>
      <c r="C1" s="40" t="s">
        <v>4</v>
      </c>
      <c r="D1" s="40" t="s">
        <v>118</v>
      </c>
      <c r="E1" s="40" t="s">
        <v>119</v>
      </c>
      <c r="F1" s="40" t="s">
        <v>120</v>
      </c>
      <c r="G1" s="40" t="s">
        <v>121</v>
      </c>
      <c r="H1" s="40" t="s">
        <v>122</v>
      </c>
      <c r="I1" s="40" t="s">
        <v>123</v>
      </c>
      <c r="J1" s="40" t="s">
        <v>2</v>
      </c>
      <c r="K1" s="40" t="s">
        <v>3</v>
      </c>
      <c r="L1" s="40" t="s">
        <v>6</v>
      </c>
      <c r="M1" s="40" t="s">
        <v>124</v>
      </c>
      <c r="N1" s="40" t="s">
        <v>125</v>
      </c>
    </row>
    <row r="2" spans="1:14" x14ac:dyDescent="0.25">
      <c r="A2" s="45">
        <v>1</v>
      </c>
      <c r="B2" s="46">
        <v>0.28000000000000003</v>
      </c>
      <c r="C2" s="47">
        <v>46</v>
      </c>
      <c r="D2" s="47">
        <v>-120</v>
      </c>
      <c r="E2" s="48">
        <v>0.5</v>
      </c>
      <c r="F2" s="47">
        <v>130</v>
      </c>
      <c r="G2" s="45"/>
      <c r="H2" s="45"/>
      <c r="I2" s="45"/>
      <c r="J2" s="48">
        <v>0.6</v>
      </c>
      <c r="K2" s="48">
        <v>14.5</v>
      </c>
      <c r="L2" s="48">
        <v>0</v>
      </c>
      <c r="M2" s="48">
        <v>0.2</v>
      </c>
      <c r="N2" s="47">
        <v>4</v>
      </c>
    </row>
    <row r="3" spans="1:14" x14ac:dyDescent="0.25">
      <c r="A3" s="45">
        <v>2</v>
      </c>
      <c r="B3" s="46">
        <v>0.3</v>
      </c>
      <c r="C3" s="47">
        <v>46</v>
      </c>
      <c r="D3" s="47">
        <v>-120</v>
      </c>
      <c r="E3" s="48">
        <v>0.5</v>
      </c>
      <c r="F3" s="47">
        <v>130</v>
      </c>
      <c r="G3" s="45"/>
      <c r="H3" s="45"/>
      <c r="I3" s="45"/>
      <c r="J3" s="48">
        <v>4</v>
      </c>
      <c r="K3" s="48">
        <v>14.5</v>
      </c>
      <c r="L3" s="48">
        <v>0</v>
      </c>
      <c r="M3" s="48">
        <v>0.2</v>
      </c>
      <c r="N3" s="47">
        <v>3</v>
      </c>
    </row>
    <row r="4" spans="1:14" x14ac:dyDescent="0.25">
      <c r="A4" s="45">
        <v>3</v>
      </c>
      <c r="B4" s="46">
        <v>0.31</v>
      </c>
      <c r="C4" s="47">
        <v>46</v>
      </c>
      <c r="D4" s="47">
        <v>-120</v>
      </c>
      <c r="E4" s="48">
        <v>0.5</v>
      </c>
      <c r="F4" s="47">
        <v>130</v>
      </c>
      <c r="G4" s="45"/>
      <c r="H4" s="45"/>
      <c r="I4" s="45"/>
      <c r="J4" s="48">
        <v>4</v>
      </c>
      <c r="K4" s="48">
        <v>14.5</v>
      </c>
      <c r="L4" s="48">
        <v>0</v>
      </c>
      <c r="M4" s="48">
        <v>0.2</v>
      </c>
      <c r="N4" s="47">
        <v>3</v>
      </c>
    </row>
    <row r="5" spans="1:14" x14ac:dyDescent="0.25">
      <c r="A5" s="45">
        <v>4</v>
      </c>
      <c r="B5" s="46">
        <v>0.31</v>
      </c>
      <c r="C5" s="47">
        <v>46</v>
      </c>
      <c r="D5" s="47">
        <v>-120</v>
      </c>
      <c r="E5" s="48">
        <v>0.5</v>
      </c>
      <c r="F5" s="47">
        <v>130</v>
      </c>
      <c r="G5" s="45"/>
      <c r="H5" s="45"/>
      <c r="I5" s="45"/>
      <c r="J5" s="48">
        <v>4</v>
      </c>
      <c r="K5" s="48">
        <v>14.5</v>
      </c>
      <c r="L5" s="48">
        <v>0</v>
      </c>
      <c r="M5" s="48">
        <v>0.2</v>
      </c>
      <c r="N5" s="47">
        <v>3</v>
      </c>
    </row>
    <row r="6" spans="1:14" x14ac:dyDescent="0.25">
      <c r="A6" s="45">
        <v>5</v>
      </c>
      <c r="B6" s="46">
        <v>0.33</v>
      </c>
      <c r="C6" s="47">
        <v>46</v>
      </c>
      <c r="D6" s="47">
        <v>-120</v>
      </c>
      <c r="E6" s="48">
        <v>0.5</v>
      </c>
      <c r="F6" s="47">
        <v>130</v>
      </c>
      <c r="G6" s="45"/>
      <c r="H6" s="45"/>
      <c r="I6" s="45"/>
      <c r="J6" s="48">
        <v>0.6</v>
      </c>
      <c r="K6" s="48">
        <v>16</v>
      </c>
      <c r="L6" s="48">
        <v>0</v>
      </c>
      <c r="M6" s="48">
        <v>0.2</v>
      </c>
      <c r="N6" s="47">
        <v>2</v>
      </c>
    </row>
    <row r="7" spans="1:14" x14ac:dyDescent="0.25">
      <c r="A7" s="45">
        <v>6</v>
      </c>
      <c r="B7" s="46">
        <v>0.35</v>
      </c>
      <c r="C7" s="47">
        <v>46</v>
      </c>
      <c r="D7" s="47">
        <v>-120</v>
      </c>
      <c r="E7" s="48">
        <v>0.5</v>
      </c>
      <c r="F7" s="47">
        <v>130</v>
      </c>
      <c r="G7" s="45"/>
      <c r="H7" s="45"/>
      <c r="I7" s="45"/>
      <c r="J7" s="48">
        <v>0.6</v>
      </c>
      <c r="K7" s="48">
        <v>16</v>
      </c>
      <c r="L7" s="48">
        <v>0</v>
      </c>
      <c r="M7" s="48">
        <v>0.2</v>
      </c>
      <c r="N7" s="47">
        <v>2</v>
      </c>
    </row>
    <row r="8" spans="1:14" x14ac:dyDescent="0.25">
      <c r="A8" s="45">
        <v>12</v>
      </c>
      <c r="B8" s="46">
        <v>0.13</v>
      </c>
      <c r="C8" s="47">
        <v>46</v>
      </c>
      <c r="D8" s="47">
        <v>30</v>
      </c>
      <c r="E8" s="48">
        <v>0.5</v>
      </c>
      <c r="F8" s="47">
        <v>130</v>
      </c>
      <c r="G8" s="45"/>
      <c r="H8" s="45"/>
      <c r="I8" s="45"/>
      <c r="J8" s="48">
        <v>0.6</v>
      </c>
      <c r="K8" s="48">
        <v>16</v>
      </c>
      <c r="L8" s="48">
        <v>0</v>
      </c>
      <c r="M8" s="48">
        <v>0.2</v>
      </c>
      <c r="N8" s="47">
        <v>2</v>
      </c>
    </row>
    <row r="9" spans="1:14" x14ac:dyDescent="0.25">
      <c r="A9" s="45">
        <v>13</v>
      </c>
      <c r="B9" s="46">
        <v>0.08</v>
      </c>
      <c r="C9" s="47">
        <v>46</v>
      </c>
      <c r="D9" s="47">
        <v>30</v>
      </c>
      <c r="E9" s="48">
        <v>0.5</v>
      </c>
      <c r="F9" s="47">
        <v>130</v>
      </c>
      <c r="G9" s="45"/>
      <c r="H9" s="45"/>
      <c r="I9" s="45"/>
      <c r="J9" s="48">
        <v>0.6</v>
      </c>
      <c r="K9" s="48">
        <v>16</v>
      </c>
      <c r="L9" s="48">
        <v>0</v>
      </c>
      <c r="M9" s="48">
        <v>0.2</v>
      </c>
      <c r="N9" s="47">
        <v>2</v>
      </c>
    </row>
    <row r="10" spans="1:14" x14ac:dyDescent="0.25">
      <c r="A10" s="45">
        <v>14</v>
      </c>
      <c r="B10" s="46">
        <v>0.1</v>
      </c>
      <c r="C10" s="47">
        <v>46</v>
      </c>
      <c r="D10" s="47">
        <v>150</v>
      </c>
      <c r="E10" s="48">
        <v>0.5</v>
      </c>
      <c r="F10" s="47">
        <v>130</v>
      </c>
      <c r="G10" s="45"/>
      <c r="H10" s="45"/>
      <c r="I10" s="45"/>
      <c r="J10" s="48">
        <v>0.6</v>
      </c>
      <c r="K10" s="48">
        <v>14.5</v>
      </c>
      <c r="L10" s="48">
        <v>0</v>
      </c>
      <c r="M10" s="48">
        <v>0.2</v>
      </c>
      <c r="N10" s="47">
        <v>4</v>
      </c>
    </row>
    <row r="11" spans="1:14" x14ac:dyDescent="0.25">
      <c r="A11" s="45">
        <v>15</v>
      </c>
      <c r="B11" s="46">
        <v>0.09</v>
      </c>
      <c r="C11" s="47">
        <v>46</v>
      </c>
      <c r="D11" s="47">
        <v>150</v>
      </c>
      <c r="E11" s="48">
        <v>0.5</v>
      </c>
      <c r="F11" s="47">
        <v>130</v>
      </c>
      <c r="G11" s="45"/>
      <c r="H11" s="45"/>
      <c r="I11" s="45"/>
      <c r="J11" s="48">
        <v>4</v>
      </c>
      <c r="K11" s="48">
        <v>14.5</v>
      </c>
      <c r="L11" s="48">
        <v>0</v>
      </c>
      <c r="M11" s="48">
        <v>0.2</v>
      </c>
      <c r="N11" s="47">
        <v>3</v>
      </c>
    </row>
    <row r="12" spans="1:14" x14ac:dyDescent="0.25">
      <c r="A12" s="45">
        <v>16</v>
      </c>
      <c r="B12" s="46">
        <v>0.19</v>
      </c>
      <c r="C12" s="47">
        <v>46</v>
      </c>
      <c r="D12" s="47">
        <v>-50</v>
      </c>
      <c r="E12" s="48">
        <v>0.5</v>
      </c>
      <c r="F12" s="47">
        <v>130</v>
      </c>
      <c r="G12" s="45"/>
      <c r="H12" s="45"/>
      <c r="I12" s="45"/>
      <c r="J12" s="48">
        <v>0.6</v>
      </c>
      <c r="K12" s="48">
        <v>16</v>
      </c>
      <c r="L12" s="48">
        <v>0</v>
      </c>
      <c r="M12" s="48">
        <v>0.2</v>
      </c>
      <c r="N12" s="47">
        <v>2</v>
      </c>
    </row>
    <row r="13" spans="1:14" x14ac:dyDescent="0.25">
      <c r="A13" s="45">
        <v>17</v>
      </c>
      <c r="B13" s="46">
        <v>0.19</v>
      </c>
      <c r="C13" s="47">
        <v>46</v>
      </c>
      <c r="D13" s="47">
        <v>-50</v>
      </c>
      <c r="E13" s="48">
        <v>0.5</v>
      </c>
      <c r="F13" s="47">
        <v>130</v>
      </c>
      <c r="G13" s="45"/>
      <c r="H13" s="45"/>
      <c r="I13" s="45"/>
      <c r="J13" s="48">
        <v>0.6</v>
      </c>
      <c r="K13" s="48">
        <v>16</v>
      </c>
      <c r="L13" s="48">
        <v>0</v>
      </c>
      <c r="M13" s="48">
        <v>0.2</v>
      </c>
      <c r="N13" s="47">
        <v>2</v>
      </c>
    </row>
    <row r="14" spans="1:14" x14ac:dyDescent="0.25">
      <c r="A14" s="45">
        <v>18</v>
      </c>
      <c r="B14" s="46">
        <v>0.19</v>
      </c>
      <c r="C14" s="47">
        <v>46</v>
      </c>
      <c r="D14" s="47">
        <v>-50</v>
      </c>
      <c r="E14" s="48">
        <v>0.5</v>
      </c>
      <c r="F14" s="47">
        <v>130</v>
      </c>
      <c r="G14" s="45"/>
      <c r="H14" s="45"/>
      <c r="I14" s="45"/>
      <c r="J14" s="48">
        <v>0.6</v>
      </c>
      <c r="K14" s="48">
        <v>16</v>
      </c>
      <c r="L14" s="48">
        <v>0</v>
      </c>
      <c r="M14" s="48">
        <v>0.2</v>
      </c>
      <c r="N14" s="47">
        <v>2</v>
      </c>
    </row>
    <row r="15" spans="1:14" x14ac:dyDescent="0.25">
      <c r="A15" s="45">
        <v>19</v>
      </c>
      <c r="B15" s="46">
        <v>0.17</v>
      </c>
      <c r="C15" s="47">
        <v>46</v>
      </c>
      <c r="D15" s="47">
        <v>-50</v>
      </c>
      <c r="E15" s="48">
        <v>0.5</v>
      </c>
      <c r="F15" s="47">
        <v>130</v>
      </c>
      <c r="G15" s="45"/>
      <c r="H15" s="45"/>
      <c r="I15" s="45"/>
      <c r="J15" s="48">
        <v>4</v>
      </c>
      <c r="K15" s="48">
        <v>14.5</v>
      </c>
      <c r="L15" s="48">
        <v>0</v>
      </c>
      <c r="M15" s="48">
        <v>0.2</v>
      </c>
      <c r="N15" s="47">
        <v>3</v>
      </c>
    </row>
    <row r="16" spans="1:14" x14ac:dyDescent="0.25">
      <c r="A16" s="45">
        <v>20</v>
      </c>
      <c r="B16" s="46">
        <v>0.18</v>
      </c>
      <c r="C16" s="47">
        <v>46</v>
      </c>
      <c r="D16" s="47">
        <v>-50</v>
      </c>
      <c r="E16" s="48">
        <v>0.5</v>
      </c>
      <c r="F16" s="47">
        <v>130</v>
      </c>
      <c r="G16" s="45"/>
      <c r="H16" s="45"/>
      <c r="I16" s="45"/>
      <c r="J16" s="48">
        <v>4</v>
      </c>
      <c r="K16" s="48">
        <v>14.5</v>
      </c>
      <c r="L16" s="48">
        <v>0</v>
      </c>
      <c r="M16" s="48">
        <v>0.2</v>
      </c>
      <c r="N16" s="47">
        <v>3</v>
      </c>
    </row>
    <row r="17" spans="1:14" x14ac:dyDescent="0.25">
      <c r="A17" s="45">
        <v>21</v>
      </c>
      <c r="B17" s="46">
        <v>0.18</v>
      </c>
      <c r="C17" s="47">
        <v>46</v>
      </c>
      <c r="D17" s="47">
        <v>-50</v>
      </c>
      <c r="E17" s="48">
        <v>0.5</v>
      </c>
      <c r="F17" s="47">
        <v>130</v>
      </c>
      <c r="G17" s="45"/>
      <c r="H17" s="45"/>
      <c r="I17" s="45"/>
      <c r="J17" s="48">
        <v>4</v>
      </c>
      <c r="K17" s="48">
        <v>14.5</v>
      </c>
      <c r="L17" s="48">
        <v>0</v>
      </c>
      <c r="M17" s="48">
        <v>0.2</v>
      </c>
      <c r="N17" s="47">
        <v>3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N15"/>
  <sheetViews>
    <sheetView workbookViewId="0">
      <selection activeCell="D14" sqref="D14"/>
    </sheetView>
  </sheetViews>
  <sheetFormatPr defaultRowHeight="15" x14ac:dyDescent="0.25"/>
  <sheetData>
    <row r="1" spans="1:14" x14ac:dyDescent="0.25">
      <c r="A1" s="1" t="s">
        <v>13</v>
      </c>
      <c r="B1" s="1" t="s">
        <v>14</v>
      </c>
      <c r="C1" s="1" t="s">
        <v>4</v>
      </c>
      <c r="D1" s="1" t="s">
        <v>118</v>
      </c>
      <c r="E1" s="1" t="s">
        <v>119</v>
      </c>
      <c r="F1" s="1" t="s">
        <v>120</v>
      </c>
      <c r="G1" s="1" t="s">
        <v>121</v>
      </c>
      <c r="H1" s="1" t="s">
        <v>122</v>
      </c>
      <c r="I1" s="1" t="s">
        <v>123</v>
      </c>
      <c r="J1" s="1" t="s">
        <v>2</v>
      </c>
      <c r="K1" s="1" t="s">
        <v>3</v>
      </c>
      <c r="L1" s="1" t="s">
        <v>6</v>
      </c>
      <c r="M1" s="1" t="s">
        <v>124</v>
      </c>
      <c r="N1" s="1" t="s">
        <v>125</v>
      </c>
    </row>
    <row r="2" spans="1:14" x14ac:dyDescent="0.25">
      <c r="A2" t="s">
        <v>18</v>
      </c>
      <c r="B2" s="3">
        <v>60</v>
      </c>
      <c r="C2" s="4">
        <v>46</v>
      </c>
      <c r="D2" s="4">
        <v>-180</v>
      </c>
      <c r="E2" s="3">
        <v>0.5</v>
      </c>
      <c r="F2" s="4">
        <v>130</v>
      </c>
      <c r="J2" s="3">
        <v>4</v>
      </c>
      <c r="K2" s="3">
        <v>14.5</v>
      </c>
      <c r="L2" s="3">
        <v>0</v>
      </c>
      <c r="M2" s="3">
        <v>0.2</v>
      </c>
      <c r="N2" s="4">
        <v>3</v>
      </c>
    </row>
    <row r="3" spans="1:14" x14ac:dyDescent="0.25">
      <c r="A3" t="s">
        <v>19</v>
      </c>
      <c r="B3" s="3">
        <v>56</v>
      </c>
      <c r="C3" s="4">
        <v>46</v>
      </c>
      <c r="D3" s="4">
        <v>-180</v>
      </c>
      <c r="E3" s="3">
        <v>0.5</v>
      </c>
      <c r="F3" s="4">
        <v>130</v>
      </c>
      <c r="J3" s="3">
        <v>4</v>
      </c>
      <c r="K3" s="3">
        <v>14.5</v>
      </c>
      <c r="L3" s="3">
        <v>0</v>
      </c>
      <c r="M3" s="3">
        <v>0.2</v>
      </c>
      <c r="N3" s="4">
        <v>3</v>
      </c>
    </row>
    <row r="4" spans="1:14" x14ac:dyDescent="0.25">
      <c r="A4" t="s">
        <v>20</v>
      </c>
      <c r="B4" s="3">
        <v>52</v>
      </c>
      <c r="C4" s="4">
        <v>46</v>
      </c>
      <c r="D4" s="4">
        <v>-180</v>
      </c>
      <c r="E4" s="3">
        <v>0.5</v>
      </c>
      <c r="F4" s="4">
        <v>130</v>
      </c>
      <c r="J4" s="3">
        <v>4</v>
      </c>
      <c r="K4" s="3">
        <v>14.5</v>
      </c>
      <c r="L4" s="3">
        <v>0</v>
      </c>
      <c r="M4" s="3">
        <v>0.2</v>
      </c>
      <c r="N4" s="4">
        <v>3</v>
      </c>
    </row>
    <row r="5" spans="1:14" x14ac:dyDescent="0.25">
      <c r="A5" t="s">
        <v>21</v>
      </c>
      <c r="B5" s="3">
        <v>47</v>
      </c>
      <c r="C5" s="4">
        <v>46</v>
      </c>
      <c r="D5" s="4">
        <v>-180</v>
      </c>
      <c r="E5" s="3">
        <v>0.5</v>
      </c>
      <c r="F5" s="4">
        <v>130</v>
      </c>
      <c r="J5" s="3">
        <v>4</v>
      </c>
      <c r="K5" s="3">
        <v>14.5</v>
      </c>
      <c r="L5" s="3">
        <v>0</v>
      </c>
      <c r="M5" s="3">
        <v>0.2</v>
      </c>
      <c r="N5" s="4">
        <v>3</v>
      </c>
    </row>
    <row r="6" spans="1:14" x14ac:dyDescent="0.25">
      <c r="A6" t="s">
        <v>22</v>
      </c>
      <c r="B6" s="3">
        <v>43</v>
      </c>
      <c r="C6" s="4">
        <v>46</v>
      </c>
      <c r="D6" s="4">
        <v>-180</v>
      </c>
      <c r="E6" s="3">
        <v>0.5</v>
      </c>
      <c r="F6" s="4">
        <v>130</v>
      </c>
      <c r="J6" s="3">
        <v>4</v>
      </c>
      <c r="K6" s="3">
        <v>14.5</v>
      </c>
      <c r="L6" s="3">
        <v>0</v>
      </c>
      <c r="M6" s="3">
        <v>0.2</v>
      </c>
      <c r="N6" s="4">
        <v>3</v>
      </c>
    </row>
    <row r="7" spans="1:14" x14ac:dyDescent="0.25">
      <c r="A7" t="s">
        <v>23</v>
      </c>
      <c r="B7" s="3">
        <v>39</v>
      </c>
      <c r="C7" s="4">
        <v>46</v>
      </c>
      <c r="D7" s="4">
        <v>-180</v>
      </c>
      <c r="E7" s="3">
        <v>0.5</v>
      </c>
      <c r="F7" s="4">
        <v>130</v>
      </c>
      <c r="J7" s="3">
        <v>4</v>
      </c>
      <c r="K7" s="3">
        <v>14.5</v>
      </c>
      <c r="L7" s="3">
        <v>0</v>
      </c>
      <c r="M7" s="3">
        <v>0.2</v>
      </c>
      <c r="N7" s="4">
        <v>3</v>
      </c>
    </row>
    <row r="8" spans="1:14" x14ac:dyDescent="0.25">
      <c r="A8" t="s">
        <v>24</v>
      </c>
      <c r="B8" s="3">
        <v>36</v>
      </c>
      <c r="C8" s="4">
        <v>46</v>
      </c>
      <c r="D8" s="4">
        <v>-180</v>
      </c>
      <c r="E8" s="3">
        <v>0.5</v>
      </c>
      <c r="F8" s="4">
        <v>130</v>
      </c>
      <c r="J8" s="3">
        <v>4</v>
      </c>
      <c r="K8" s="3">
        <v>14.5</v>
      </c>
      <c r="L8" s="3">
        <v>0</v>
      </c>
      <c r="M8" s="3">
        <v>0.2</v>
      </c>
      <c r="N8" s="4">
        <v>3</v>
      </c>
    </row>
    <row r="9" spans="1:14" x14ac:dyDescent="0.25">
      <c r="A9" t="s">
        <v>25</v>
      </c>
      <c r="B9" s="3">
        <v>37</v>
      </c>
      <c r="C9" s="4">
        <v>46</v>
      </c>
      <c r="D9" s="4">
        <v>-180</v>
      </c>
      <c r="E9" s="3">
        <v>0.5</v>
      </c>
      <c r="F9" s="4">
        <v>130</v>
      </c>
      <c r="J9" s="3">
        <v>4</v>
      </c>
      <c r="K9" s="3">
        <v>14.5</v>
      </c>
      <c r="L9" s="3">
        <v>0</v>
      </c>
      <c r="M9" s="3">
        <v>0.2</v>
      </c>
      <c r="N9" s="4">
        <v>3</v>
      </c>
    </row>
    <row r="10" spans="1:14" x14ac:dyDescent="0.25">
      <c r="A10" t="s">
        <v>26</v>
      </c>
      <c r="B10" s="3">
        <v>39</v>
      </c>
      <c r="C10" s="4">
        <v>46</v>
      </c>
      <c r="D10" s="4">
        <v>-180</v>
      </c>
      <c r="E10" s="3">
        <v>0.5</v>
      </c>
      <c r="F10" s="4">
        <v>130</v>
      </c>
      <c r="J10" s="3">
        <v>4</v>
      </c>
      <c r="K10" s="3">
        <v>14.5</v>
      </c>
      <c r="L10" s="3">
        <v>0</v>
      </c>
      <c r="M10" s="3">
        <v>0.2</v>
      </c>
      <c r="N10" s="4">
        <v>3</v>
      </c>
    </row>
    <row r="11" spans="1:14" x14ac:dyDescent="0.25">
      <c r="A11" t="s">
        <v>27</v>
      </c>
      <c r="B11" s="3">
        <v>42</v>
      </c>
      <c r="C11" s="4">
        <v>46</v>
      </c>
      <c r="D11" s="4">
        <v>-180</v>
      </c>
      <c r="E11" s="3">
        <v>0.5</v>
      </c>
      <c r="F11" s="4">
        <v>130</v>
      </c>
      <c r="J11" s="3">
        <v>4</v>
      </c>
      <c r="K11" s="3">
        <v>14.5</v>
      </c>
      <c r="L11" s="3">
        <v>0</v>
      </c>
      <c r="M11" s="3">
        <v>0.2</v>
      </c>
      <c r="N11" s="4">
        <v>3</v>
      </c>
    </row>
    <row r="12" spans="1:14" x14ac:dyDescent="0.25">
      <c r="A12" t="s">
        <v>28</v>
      </c>
      <c r="B12" s="3">
        <v>46</v>
      </c>
      <c r="C12" s="4">
        <v>46</v>
      </c>
      <c r="D12" s="4">
        <v>-180</v>
      </c>
      <c r="E12" s="3">
        <v>0.5</v>
      </c>
      <c r="F12" s="4">
        <v>130</v>
      </c>
      <c r="J12" s="3">
        <v>4</v>
      </c>
      <c r="K12" s="3">
        <v>14.5</v>
      </c>
      <c r="L12" s="3">
        <v>0</v>
      </c>
      <c r="M12" s="3">
        <v>0.2</v>
      </c>
      <c r="N12" s="4">
        <v>3</v>
      </c>
    </row>
    <row r="13" spans="1:14" x14ac:dyDescent="0.25">
      <c r="A13" t="s">
        <v>29</v>
      </c>
      <c r="B13" s="3">
        <v>49</v>
      </c>
      <c r="C13" s="4">
        <v>46</v>
      </c>
      <c r="D13" s="4">
        <v>-180</v>
      </c>
      <c r="E13" s="3">
        <v>0.5</v>
      </c>
      <c r="F13" s="4">
        <v>130</v>
      </c>
      <c r="J13" s="3">
        <v>4</v>
      </c>
      <c r="K13" s="3">
        <v>14.5</v>
      </c>
      <c r="L13" s="3">
        <v>0</v>
      </c>
      <c r="M13" s="3">
        <v>0.2</v>
      </c>
      <c r="N13" s="4">
        <v>3</v>
      </c>
    </row>
    <row r="14" spans="1:14" x14ac:dyDescent="0.25">
      <c r="A14" t="s">
        <v>30</v>
      </c>
      <c r="B14" s="3">
        <v>52</v>
      </c>
      <c r="C14" s="4">
        <v>46</v>
      </c>
      <c r="D14" s="4">
        <v>-180</v>
      </c>
      <c r="E14" s="3">
        <v>0.5</v>
      </c>
      <c r="F14" s="4">
        <v>130</v>
      </c>
      <c r="J14" s="3">
        <v>4</v>
      </c>
      <c r="K14" s="3">
        <v>14.5</v>
      </c>
      <c r="L14" s="3">
        <v>0</v>
      </c>
      <c r="M14" s="3">
        <v>0.2</v>
      </c>
      <c r="N14" s="4">
        <v>3</v>
      </c>
    </row>
    <row r="15" spans="1:14" x14ac:dyDescent="0.25">
      <c r="A15" t="s">
        <v>31</v>
      </c>
      <c r="B15" s="3">
        <v>55</v>
      </c>
      <c r="C15" s="4">
        <v>46</v>
      </c>
      <c r="D15" s="4">
        <v>-180</v>
      </c>
      <c r="E15" s="3">
        <v>0.5</v>
      </c>
      <c r="F15" s="4">
        <v>130</v>
      </c>
      <c r="J15" s="3">
        <v>4</v>
      </c>
      <c r="K15" s="3">
        <v>14.5</v>
      </c>
      <c r="L15" s="3">
        <v>0</v>
      </c>
      <c r="M15" s="3">
        <v>0.2</v>
      </c>
      <c r="N15" s="4">
        <v>3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N7"/>
  <sheetViews>
    <sheetView workbookViewId="0">
      <selection activeCell="C15" sqref="C15"/>
    </sheetView>
  </sheetViews>
  <sheetFormatPr defaultRowHeight="15" x14ac:dyDescent="0.25"/>
  <sheetData>
    <row r="1" spans="1:14" ht="45" x14ac:dyDescent="0.25">
      <c r="A1" s="40" t="s">
        <v>129</v>
      </c>
      <c r="B1" s="40" t="s">
        <v>130</v>
      </c>
      <c r="C1" s="40" t="s">
        <v>4</v>
      </c>
      <c r="D1" s="40" t="s">
        <v>118</v>
      </c>
      <c r="E1" s="40" t="s">
        <v>119</v>
      </c>
      <c r="F1" s="40" t="s">
        <v>120</v>
      </c>
      <c r="G1" s="40" t="s">
        <v>121</v>
      </c>
      <c r="H1" s="40" t="s">
        <v>122</v>
      </c>
      <c r="I1" s="40" t="s">
        <v>123</v>
      </c>
      <c r="J1" s="40" t="s">
        <v>2</v>
      </c>
      <c r="K1" s="40" t="s">
        <v>3</v>
      </c>
      <c r="L1" s="40" t="s">
        <v>6</v>
      </c>
      <c r="M1" s="40" t="s">
        <v>124</v>
      </c>
      <c r="N1" s="40" t="s">
        <v>125</v>
      </c>
    </row>
    <row r="2" spans="1:14" s="44" customFormat="1" x14ac:dyDescent="0.25">
      <c r="A2" s="41" t="s">
        <v>64</v>
      </c>
      <c r="B2" s="42">
        <v>157</v>
      </c>
      <c r="C2" s="43">
        <v>46</v>
      </c>
      <c r="D2" s="43">
        <v>-120</v>
      </c>
      <c r="E2" s="42">
        <v>0.5</v>
      </c>
      <c r="F2" s="43">
        <v>130</v>
      </c>
      <c r="G2" s="41"/>
      <c r="H2" s="41"/>
      <c r="I2" s="41"/>
      <c r="J2" s="42">
        <v>4</v>
      </c>
      <c r="K2" s="42">
        <v>14.5</v>
      </c>
      <c r="L2" s="42">
        <v>0</v>
      </c>
      <c r="M2" s="42">
        <v>0.2</v>
      </c>
      <c r="N2" s="43">
        <v>3</v>
      </c>
    </row>
    <row r="3" spans="1:14" s="44" customFormat="1" x14ac:dyDescent="0.25">
      <c r="A3" s="41" t="s">
        <v>65</v>
      </c>
      <c r="B3" s="42">
        <v>152</v>
      </c>
      <c r="C3" s="43">
        <v>46</v>
      </c>
      <c r="D3" s="43">
        <v>-120</v>
      </c>
      <c r="E3" s="42">
        <v>0.5</v>
      </c>
      <c r="F3" s="43">
        <v>130</v>
      </c>
      <c r="G3" s="41"/>
      <c r="H3" s="41"/>
      <c r="I3" s="41"/>
      <c r="J3" s="42">
        <v>0.6</v>
      </c>
      <c r="K3" s="42">
        <v>16</v>
      </c>
      <c r="L3" s="42">
        <v>0</v>
      </c>
      <c r="M3" s="42">
        <v>0.2</v>
      </c>
      <c r="N3" s="43">
        <v>2</v>
      </c>
    </row>
    <row r="4" spans="1:14" s="44" customFormat="1" x14ac:dyDescent="0.25">
      <c r="A4" s="41" t="s">
        <v>70</v>
      </c>
      <c r="B4" s="42">
        <v>47</v>
      </c>
      <c r="C4" s="43">
        <v>46</v>
      </c>
      <c r="D4" s="43">
        <v>30</v>
      </c>
      <c r="E4" s="42">
        <v>0.5</v>
      </c>
      <c r="F4" s="43">
        <v>130</v>
      </c>
      <c r="G4" s="41"/>
      <c r="H4" s="41"/>
      <c r="I4" s="41"/>
      <c r="J4" s="42">
        <v>0.6</v>
      </c>
      <c r="K4" s="42">
        <v>16</v>
      </c>
      <c r="L4" s="42">
        <v>0</v>
      </c>
      <c r="M4" s="42">
        <v>0.2</v>
      </c>
      <c r="N4" s="43">
        <v>2</v>
      </c>
    </row>
    <row r="5" spans="1:14" s="44" customFormat="1" x14ac:dyDescent="0.25">
      <c r="A5" s="41" t="s">
        <v>90</v>
      </c>
      <c r="B5" s="42">
        <v>59</v>
      </c>
      <c r="C5" s="43">
        <v>46</v>
      </c>
      <c r="D5" s="43">
        <v>150</v>
      </c>
      <c r="E5" s="42">
        <v>0.5</v>
      </c>
      <c r="F5" s="43">
        <v>130</v>
      </c>
      <c r="G5" s="41"/>
      <c r="H5" s="41"/>
      <c r="I5" s="41"/>
      <c r="J5" s="42">
        <v>0.6</v>
      </c>
      <c r="K5" s="42">
        <v>14.5</v>
      </c>
      <c r="L5" s="42">
        <v>0</v>
      </c>
      <c r="M5" s="42">
        <v>0.2</v>
      </c>
      <c r="N5" s="43">
        <v>4</v>
      </c>
    </row>
    <row r="6" spans="1:14" s="44" customFormat="1" x14ac:dyDescent="0.25">
      <c r="A6" s="41" t="s">
        <v>94</v>
      </c>
      <c r="B6" s="42">
        <v>172</v>
      </c>
      <c r="C6" s="43">
        <v>46</v>
      </c>
      <c r="D6" s="43">
        <v>-50</v>
      </c>
      <c r="E6" s="42">
        <v>0.5</v>
      </c>
      <c r="F6" s="43">
        <v>130</v>
      </c>
      <c r="G6" s="41"/>
      <c r="H6" s="41"/>
      <c r="I6" s="41"/>
      <c r="J6" s="42">
        <v>4</v>
      </c>
      <c r="K6" s="42">
        <v>14.5</v>
      </c>
      <c r="L6" s="42">
        <v>0</v>
      </c>
      <c r="M6" s="42">
        <v>0.2</v>
      </c>
      <c r="N6" s="43">
        <v>3</v>
      </c>
    </row>
    <row r="7" spans="1:14" s="44" customFormat="1" x14ac:dyDescent="0.25">
      <c r="A7" s="41" t="s">
        <v>95</v>
      </c>
      <c r="B7" s="42">
        <v>182</v>
      </c>
      <c r="C7" s="43">
        <v>46</v>
      </c>
      <c r="D7" s="43">
        <v>-50</v>
      </c>
      <c r="E7" s="42">
        <v>0.5</v>
      </c>
      <c r="F7" s="43">
        <v>130</v>
      </c>
      <c r="G7" s="41"/>
      <c r="H7" s="41"/>
      <c r="I7" s="41"/>
      <c r="J7" s="42">
        <v>0.6</v>
      </c>
      <c r="K7" s="42">
        <v>16</v>
      </c>
      <c r="L7" s="42">
        <v>0</v>
      </c>
      <c r="M7" s="42">
        <v>0.2</v>
      </c>
      <c r="N7" s="43">
        <v>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Database</vt:lpstr>
      <vt:lpstr>SUMMARY</vt:lpstr>
      <vt:lpstr>Cases</vt:lpstr>
      <vt:lpstr>Fenders</vt:lpstr>
      <vt:lpstr>Line_Tensions</vt:lpstr>
      <vt:lpstr>Hook_Bollard_Forces</vt:lpstr>
      <vt:lpstr>Greatest_Excursions</vt:lpstr>
      <vt:lpstr>Greatest_Line</vt:lpstr>
      <vt:lpstr>Greatest_Fender</vt:lpstr>
      <vt:lpstr>Greatest_Bollard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Cong van Nguyen</cp:lastModifiedBy>
  <dcterms:created xsi:type="dcterms:W3CDTF">2026-06-26T02:23:49Z</dcterms:created>
  <dcterms:modified xsi:type="dcterms:W3CDTF">2026-06-26T04:15:00Z</dcterms:modified>
</cp:coreProperties>
</file>