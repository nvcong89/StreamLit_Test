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 Pla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ploy Architectu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1F1F"/>
    </font>
    <font>
      <color rgb="000000FF"/>
    </font>
    <font>
      <color rgb="00000000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EAF2FF"/>
      </patternFill>
    </fill>
    <fill>
      <patternFill patternType="solid">
        <fgColor rgb="00D9EAF7"/>
      </patternFill>
    </fill>
    <fill>
      <patternFill patternType="solid">
        <fgColor rgb="00DFF0D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top style="medium">
        <color rgb="001F4E78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" fillId="5" borderId="1" applyAlignment="1" pivotButton="0" quotePrefix="0" xfId="0">
      <alignment horizontal="center" vertical="center"/>
    </xf>
    <xf numFmtId="0" fontId="4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3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2" borderId="0" pivotButton="0" quotePrefix="0" xfId="0"/>
    <xf numFmtId="0" fontId="2" fillId="6" borderId="0" pivotButton="0" quotePrefix="0" xfId="0"/>
    <xf numFmtId="3" fontId="0" fillId="6" borderId="0" pivotButton="0" quotePrefix="0" xfId="0"/>
    <xf numFmtId="164" fontId="0" fillId="6" borderId="0" pivotButton="0" quotePrefix="0" xfId="0"/>
    <xf numFmtId="0" fontId="2" fillId="7" borderId="0" pivotButton="0" quotePrefix="0" xfId="0"/>
    <xf numFmtId="0" fontId="2" fillId="5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Allocated Hours by Project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'Summary'!$A$4:$A$9</f>
            </numRef>
          </cat>
          <val>
            <numRef>
              <f>'Summary'!$D$4:$D$9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Project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Sample workbook generated for internal resource planning demonstration.</t>
      </text>
    </comment>
    <comment ref="B2" authorId="0" shapeId="0">
      <text>
        <t>Illustrative planning horizon only. Replace with actual period.</t>
      </text>
    </comment>
    <comment ref="E2" authorId="0" shapeId="0">
      <text>
        <t>Target utilization assumption. Adjust for your operating model.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resource_plan" displayName="tbl_resource_plan" ref="A4:J16" headerRowCount="1">
  <autoFilter ref="A4:J16"/>
  <tableColumns count="10">
    <tableColumn id="1" name="Employee"/>
    <tableColumn id="2" name="Role"/>
    <tableColumn id="3" name="Skill"/>
    <tableColumn id="4" name="Location"/>
    <tableColumn id="5" name="Monthly Capacity (hrs)"/>
    <tableColumn id="6" name="Project"/>
    <tableColumn id="7" name="Allocation %"/>
    <tableColumn id="8" name="Allocated Hrs"/>
    <tableColumn id="9" name="Available Hrs"/>
    <tableColumn id="10" name="Utilization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8" customWidth="1" min="4" max="4"/>
    <col width="20" customWidth="1" min="5" max="5"/>
    <col width="26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 ht="22" customHeight="1">
      <c r="A1" s="1" t="inlineStr">
        <is>
          <t>Resource Planning Sample - Team Capacity and Allocation</t>
        </is>
      </c>
    </row>
    <row r="2">
      <c r="A2" s="2" t="inlineStr">
        <is>
          <t>Planning Period</t>
        </is>
      </c>
      <c r="B2" s="3" t="inlineStr">
        <is>
          <t>Jul-2026 to Sep-2026</t>
        </is>
      </c>
      <c r="D2" s="2" t="inlineStr">
        <is>
          <t>Target Utilization</t>
        </is>
      </c>
      <c r="E2" s="4" t="n">
        <v>0.8</v>
      </c>
      <c r="G2" s="2" t="inlineStr">
        <is>
          <t>Bench Threshold</t>
        </is>
      </c>
      <c r="H2" s="4" t="n">
        <v>0.15</v>
      </c>
    </row>
    <row r="4" ht="22" customHeight="1">
      <c r="A4" s="5" t="inlineStr">
        <is>
          <t>Employee</t>
        </is>
      </c>
      <c r="B4" s="5" t="inlineStr">
        <is>
          <t>Role</t>
        </is>
      </c>
      <c r="C4" s="5" t="inlineStr">
        <is>
          <t>Skill</t>
        </is>
      </c>
      <c r="D4" s="5" t="inlineStr">
        <is>
          <t>Location</t>
        </is>
      </c>
      <c r="E4" s="5" t="inlineStr">
        <is>
          <t>Monthly Capacity (hrs)</t>
        </is>
      </c>
      <c r="F4" s="5" t="inlineStr">
        <is>
          <t>Project</t>
        </is>
      </c>
      <c r="G4" s="5" t="inlineStr">
        <is>
          <t>Allocation %</t>
        </is>
      </c>
      <c r="H4" s="5" t="inlineStr">
        <is>
          <t>Allocated Hrs</t>
        </is>
      </c>
      <c r="I4" s="5" t="inlineStr">
        <is>
          <t>Available Hrs</t>
        </is>
      </c>
      <c r="J4" s="5" t="inlineStr">
        <is>
          <t>Utilization Status</t>
        </is>
      </c>
    </row>
    <row r="5">
      <c r="A5" s="6" t="inlineStr">
        <is>
          <t>An Nguyen</t>
        </is>
      </c>
      <c r="B5" s="6" t="inlineStr">
        <is>
          <t>Data Analyst</t>
        </is>
      </c>
      <c r="C5" s="6" t="inlineStr">
        <is>
          <t>Power BI / Excel</t>
        </is>
      </c>
      <c r="D5" s="6" t="inlineStr">
        <is>
          <t>Ho Chi Minh City</t>
        </is>
      </c>
      <c r="E5" s="7" t="n">
        <v>160</v>
      </c>
      <c r="F5" s="6" t="inlineStr">
        <is>
          <t>Resource Planning Dashboard</t>
        </is>
      </c>
      <c r="G5" s="8" t="n">
        <v>0.75</v>
      </c>
      <c r="H5" s="9">
        <f>E5*G5</f>
        <v/>
      </c>
      <c r="I5" s="9">
        <f>E5-H5</f>
        <v/>
      </c>
      <c r="J5" s="10">
        <f>IF(G5&gt;1,"Overallocated",IF(G5&gt;=$E$2,"At/Above Target",IF((1-G5)&gt;$H$2,"Bench Risk","Under Target")))</f>
        <v/>
      </c>
    </row>
    <row r="6">
      <c r="A6" s="6" t="inlineStr">
        <is>
          <t>Binh Tran</t>
        </is>
      </c>
      <c r="B6" s="6" t="inlineStr">
        <is>
          <t>Backend Engineer</t>
        </is>
      </c>
      <c r="C6" s="6" t="inlineStr">
        <is>
          <t>Python / API</t>
        </is>
      </c>
      <c r="D6" s="6" t="inlineStr">
        <is>
          <t>Ho Chi Minh City</t>
        </is>
      </c>
      <c r="E6" s="7" t="n">
        <v>160</v>
      </c>
      <c r="F6" s="6" t="inlineStr">
        <is>
          <t>Permission Audit Tool</t>
        </is>
      </c>
      <c r="G6" s="8" t="n">
        <v>0.9</v>
      </c>
      <c r="H6" s="9">
        <f>E6*G6</f>
        <v/>
      </c>
      <c r="I6" s="9">
        <f>E6-H6</f>
        <v/>
      </c>
      <c r="J6" s="10">
        <f>IF(G6&gt;1,"Overallocated",IF(G6&gt;=$E$2,"At/Above Target",IF((1-G6)&gt;$H$2,"Bench Risk","Under Target")))</f>
        <v/>
      </c>
    </row>
    <row r="7">
      <c r="A7" s="6" t="inlineStr">
        <is>
          <t>Chi Le</t>
        </is>
      </c>
      <c r="B7" s="6" t="inlineStr">
        <is>
          <t>PM</t>
        </is>
      </c>
      <c r="C7" s="6" t="inlineStr">
        <is>
          <t>Planning / Reporting</t>
        </is>
      </c>
      <c r="D7" s="6" t="inlineStr">
        <is>
          <t>Ho Chi Minh City</t>
        </is>
      </c>
      <c r="E7" s="7" t="n">
        <v>160</v>
      </c>
      <c r="F7" s="6" t="inlineStr">
        <is>
          <t>Haskoning PMO</t>
        </is>
      </c>
      <c r="G7" s="8" t="n">
        <v>0.65</v>
      </c>
      <c r="H7" s="9">
        <f>E7*G7</f>
        <v/>
      </c>
      <c r="I7" s="9">
        <f>E7-H7</f>
        <v/>
      </c>
      <c r="J7" s="10">
        <f>IF(G7&gt;1,"Overallocated",IF(G7&gt;=$E$2,"At/Above Target",IF((1-G7)&gt;$H$2,"Bench Risk","Under Target")))</f>
        <v/>
      </c>
    </row>
    <row r="8">
      <c r="A8" s="6" t="inlineStr">
        <is>
          <t>Duong Pham</t>
        </is>
      </c>
      <c r="B8" s="6" t="inlineStr">
        <is>
          <t>Data Engineer</t>
        </is>
      </c>
      <c r="C8" s="6" t="inlineStr">
        <is>
          <t>SQL / ETL</t>
        </is>
      </c>
      <c r="D8" s="6" t="inlineStr">
        <is>
          <t>Ho Chi Minh City</t>
        </is>
      </c>
      <c r="E8" s="7" t="n">
        <v>168</v>
      </c>
      <c r="F8" s="6" t="inlineStr">
        <is>
          <t>Resource Planning Dashboard</t>
        </is>
      </c>
      <c r="G8" s="8" t="n">
        <v>0.85</v>
      </c>
      <c r="H8" s="9">
        <f>E8*G8</f>
        <v/>
      </c>
      <c r="I8" s="9">
        <f>E8-H8</f>
        <v/>
      </c>
      <c r="J8" s="10">
        <f>IF(G8&gt;1,"Overallocated",IF(G8&gt;=$E$2,"At/Above Target",IF((1-G8)&gt;$H$2,"Bench Risk","Under Target")))</f>
        <v/>
      </c>
    </row>
    <row r="9">
      <c r="A9" s="6" t="inlineStr">
        <is>
          <t>Huy Vo</t>
        </is>
      </c>
      <c r="B9" s="6" t="inlineStr">
        <is>
          <t>QA Engineer</t>
        </is>
      </c>
      <c r="C9" s="6" t="inlineStr">
        <is>
          <t>Testing / Automation</t>
        </is>
      </c>
      <c r="D9" s="6" t="inlineStr">
        <is>
          <t>Ho Chi Minh City</t>
        </is>
      </c>
      <c r="E9" s="7" t="n">
        <v>160</v>
      </c>
      <c r="F9" s="6" t="inlineStr">
        <is>
          <t>Folder Governance</t>
        </is>
      </c>
      <c r="G9" s="8" t="n">
        <v>0.55</v>
      </c>
      <c r="H9" s="9">
        <f>E9*G9</f>
        <v/>
      </c>
      <c r="I9" s="9">
        <f>E9-H9</f>
        <v/>
      </c>
      <c r="J9" s="10">
        <f>IF(G9&gt;1,"Overallocated",IF(G9&gt;=$E$2,"At/Above Target",IF((1-G9)&gt;$H$2,"Bench Risk","Under Target")))</f>
        <v/>
      </c>
    </row>
    <row r="10">
      <c r="A10" s="6" t="inlineStr">
        <is>
          <t>Linh Ho</t>
        </is>
      </c>
      <c r="B10" s="6" t="inlineStr">
        <is>
          <t>Business Analyst</t>
        </is>
      </c>
      <c r="C10" s="6" t="inlineStr">
        <is>
          <t>Process / Reporting</t>
        </is>
      </c>
      <c r="D10" s="6" t="inlineStr">
        <is>
          <t>Ho Chi Minh City</t>
        </is>
      </c>
      <c r="E10" s="7" t="n">
        <v>160</v>
      </c>
      <c r="F10" s="6" t="inlineStr">
        <is>
          <t>Internal KPI Dashboard</t>
        </is>
      </c>
      <c r="G10" s="8" t="n">
        <v>0.4</v>
      </c>
      <c r="H10" s="9">
        <f>E10*G10</f>
        <v/>
      </c>
      <c r="I10" s="9">
        <f>E10-H10</f>
        <v/>
      </c>
      <c r="J10" s="10">
        <f>IF(G10&gt;1,"Overallocated",IF(G10&gt;=$E$2,"At/Above Target",IF((1-G10)&gt;$H$2,"Bench Risk","Under Target")))</f>
        <v/>
      </c>
    </row>
    <row r="11">
      <c r="A11" s="6" t="inlineStr">
        <is>
          <t>Minh Do</t>
        </is>
      </c>
      <c r="B11" s="6" t="inlineStr">
        <is>
          <t>Frontend Engineer</t>
        </is>
      </c>
      <c r="C11" s="6" t="inlineStr">
        <is>
          <t>Streamlit / UI</t>
        </is>
      </c>
      <c r="D11" s="6" t="inlineStr">
        <is>
          <t>Ho Chi Minh City</t>
        </is>
      </c>
      <c r="E11" s="7" t="n">
        <v>160</v>
      </c>
      <c r="F11" s="6" t="inlineStr">
        <is>
          <t>Internal KPI Dashboard</t>
        </is>
      </c>
      <c r="G11" s="8" t="n">
        <v>0.95</v>
      </c>
      <c r="H11" s="9">
        <f>E11*G11</f>
        <v/>
      </c>
      <c r="I11" s="9">
        <f>E11-H11</f>
        <v/>
      </c>
      <c r="J11" s="10">
        <f>IF(G11&gt;1,"Overallocated",IF(G11&gt;=$E$2,"At/Above Target",IF((1-G11)&gt;$H$2,"Bench Risk","Under Target")))</f>
        <v/>
      </c>
    </row>
    <row r="12">
      <c r="A12" s="6" t="inlineStr">
        <is>
          <t>Phuc Nguyen</t>
        </is>
      </c>
      <c r="B12" s="6" t="inlineStr">
        <is>
          <t>Support Engineer</t>
        </is>
      </c>
      <c r="C12" s="6" t="inlineStr">
        <is>
          <t>Ops / Access</t>
        </is>
      </c>
      <c r="D12" s="6" t="inlineStr">
        <is>
          <t>Ho Chi Minh City</t>
        </is>
      </c>
      <c r="E12" s="7" t="n">
        <v>168</v>
      </c>
      <c r="F12" s="6" t="inlineStr">
        <is>
          <t>Permission Audit Tool</t>
        </is>
      </c>
      <c r="G12" s="8" t="n">
        <v>0.6</v>
      </c>
      <c r="H12" s="9">
        <f>E12*G12</f>
        <v/>
      </c>
      <c r="I12" s="9">
        <f>E12-H12</f>
        <v/>
      </c>
      <c r="J12" s="10">
        <f>IF(G12&gt;1,"Overallocated",IF(G12&gt;=$E$2,"At/Above Target",IF((1-G12)&gt;$H$2,"Bench Risk","Under Target")))</f>
        <v/>
      </c>
    </row>
    <row r="13">
      <c r="A13" s="6" t="inlineStr">
        <is>
          <t>Quynh Bui</t>
        </is>
      </c>
      <c r="B13" s="6" t="inlineStr">
        <is>
          <t>Consultant</t>
        </is>
      </c>
      <c r="C13" s="6" t="inlineStr">
        <is>
          <t>Planning / Client Ops</t>
        </is>
      </c>
      <c r="D13" s="6" t="inlineStr">
        <is>
          <t>Ho Chi Minh City</t>
        </is>
      </c>
      <c r="E13" s="7" t="n">
        <v>160</v>
      </c>
      <c r="F13" s="6" t="inlineStr">
        <is>
          <t>Haskoning PMO</t>
        </is>
      </c>
      <c r="G13" s="8" t="n">
        <v>0.7</v>
      </c>
      <c r="H13" s="9">
        <f>E13*G13</f>
        <v/>
      </c>
      <c r="I13" s="9">
        <f>E13-H13</f>
        <v/>
      </c>
      <c r="J13" s="10">
        <f>IF(G13&gt;1,"Overallocated",IF(G13&gt;=$E$2,"At/Above Target",IF((1-G13)&gt;$H$2,"Bench Risk","Under Target")))</f>
        <v/>
      </c>
    </row>
    <row r="14">
      <c r="A14" s="6" t="inlineStr">
        <is>
          <t>Tam Truong</t>
        </is>
      </c>
      <c r="B14" s="6" t="inlineStr">
        <is>
          <t>Developer</t>
        </is>
      </c>
      <c r="C14" s="6" t="inlineStr">
        <is>
          <t>Python / Automation</t>
        </is>
      </c>
      <c r="D14" s="6" t="inlineStr">
        <is>
          <t>Ho Chi Minh City</t>
        </is>
      </c>
      <c r="E14" s="7" t="n">
        <v>160</v>
      </c>
      <c r="F14" s="6" t="inlineStr">
        <is>
          <t>Image Share Tool</t>
        </is>
      </c>
      <c r="G14" s="8" t="n">
        <v>0.5</v>
      </c>
      <c r="H14" s="9">
        <f>E14*G14</f>
        <v/>
      </c>
      <c r="I14" s="9">
        <f>E14-H14</f>
        <v/>
      </c>
      <c r="J14" s="10">
        <f>IF(G14&gt;1,"Overallocated",IF(G14&gt;=$E$2,"At/Above Target",IF((1-G14)&gt;$H$2,"Bench Risk","Under Target")))</f>
        <v/>
      </c>
    </row>
    <row r="15">
      <c r="A15" s="6" t="inlineStr">
        <is>
          <t>Tuan Le</t>
        </is>
      </c>
      <c r="B15" s="6" t="inlineStr">
        <is>
          <t>Data Analyst</t>
        </is>
      </c>
      <c r="C15" s="6" t="inlineStr">
        <is>
          <t>Excel / Forecasting</t>
        </is>
      </c>
      <c r="D15" s="6" t="inlineStr">
        <is>
          <t>Ho Chi Minh City</t>
        </is>
      </c>
      <c r="E15" s="7" t="n">
        <v>160</v>
      </c>
      <c r="F15" s="6" t="inlineStr">
        <is>
          <t>Resource Planning Dashboard</t>
        </is>
      </c>
      <c r="G15" s="8" t="n">
        <v>1</v>
      </c>
      <c r="H15" s="9">
        <f>E15*G15</f>
        <v/>
      </c>
      <c r="I15" s="9">
        <f>E15-H15</f>
        <v/>
      </c>
      <c r="J15" s="10">
        <f>IF(G15&gt;1,"Overallocated",IF(G15&gt;=$E$2,"At/Above Target",IF((1-G15)&gt;$H$2,"Bench Risk","Under Target")))</f>
        <v/>
      </c>
    </row>
    <row r="16">
      <c r="A16" s="6" t="inlineStr">
        <is>
          <t>Vy Tran</t>
        </is>
      </c>
      <c r="B16" s="6" t="inlineStr">
        <is>
          <t>Designer</t>
        </is>
      </c>
      <c r="C16" s="6" t="inlineStr">
        <is>
          <t>UX / Reporting</t>
        </is>
      </c>
      <c r="D16" s="6" t="inlineStr">
        <is>
          <t>Ho Chi Minh City</t>
        </is>
      </c>
      <c r="E16" s="7" t="n">
        <v>152</v>
      </c>
      <c r="F16" s="6" t="inlineStr">
        <is>
          <t>Internal KPI Dashboard</t>
        </is>
      </c>
      <c r="G16" s="8" t="n">
        <v>0.35</v>
      </c>
      <c r="H16" s="9">
        <f>E16*G16</f>
        <v/>
      </c>
      <c r="I16" s="9">
        <f>E16-H16</f>
        <v/>
      </c>
      <c r="J16" s="10">
        <f>IF(G16&gt;1,"Overallocated",IF(G16&gt;=$E$2,"At/Above Target",IF((1-G16)&gt;$H$2,"Bench Risk","Under Target")))</f>
        <v/>
      </c>
    </row>
    <row r="19" ht="22" customHeight="1">
      <c r="A19" s="11" t="inlineStr">
        <is>
          <t>Dashboard KPIs</t>
        </is>
      </c>
    </row>
    <row r="20">
      <c r="A20" s="12" t="inlineStr">
        <is>
          <t>Total Capacity Hrs</t>
        </is>
      </c>
      <c r="B20" s="13">
        <f>SUM(E5:E16)</f>
        <v/>
      </c>
    </row>
    <row r="21">
      <c r="A21" s="12" t="inlineStr">
        <is>
          <t>Total Allocated Hrs</t>
        </is>
      </c>
      <c r="B21" s="13">
        <f>SUM(H5:H16)</f>
        <v/>
      </c>
    </row>
    <row r="22">
      <c r="A22" s="12" t="inlineStr">
        <is>
          <t>Overall Utilization</t>
        </is>
      </c>
      <c r="B22" s="14">
        <f>IF(B20=0,0,B21/B20)</f>
        <v/>
      </c>
    </row>
    <row r="23">
      <c r="A23" s="12" t="inlineStr">
        <is>
          <t>Bench Risk Count</t>
        </is>
      </c>
      <c r="B23" s="13">
        <f>COUNTIF(J5:J16,"Bench Risk")</f>
        <v/>
      </c>
    </row>
    <row r="24">
      <c r="A24" s="12" t="inlineStr">
        <is>
          <t>Overallocated Count</t>
        </is>
      </c>
      <c r="B24" s="13">
        <f>COUNTIF(J5:J16,"Overallocated")</f>
        <v/>
      </c>
    </row>
    <row r="27" ht="22" customHeight="1">
      <c r="A27" s="15" t="inlineStr">
        <is>
          <t>Assumptions / Notes</t>
        </is>
      </c>
    </row>
    <row r="28">
      <c r="A28" t="inlineStr">
        <is>
          <t>- Monthly capacity excludes public holidays and leave.</t>
        </is>
      </c>
    </row>
    <row r="29">
      <c r="A29" t="inlineStr">
        <is>
          <t>- Allocation % is the primary user input for scenario planning.</t>
        </is>
      </c>
    </row>
    <row r="30">
      <c r="A30" t="inlineStr">
        <is>
          <t>- Bench Risk means remaining capacity above threshold and below target utilization.</t>
        </is>
      </c>
    </row>
    <row r="31">
      <c r="A31" t="inlineStr">
        <is>
          <t>- Overallocated means allocation exceeds 100%.</t>
        </is>
      </c>
    </row>
  </sheetData>
  <mergeCells count="7">
    <mergeCell ref="A1:J1"/>
    <mergeCell ref="A27:D27"/>
    <mergeCell ref="A28:F28"/>
    <mergeCell ref="A31:F31"/>
    <mergeCell ref="A19:D19"/>
    <mergeCell ref="A30:F30"/>
    <mergeCell ref="A29:F29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1" t="inlineStr">
        <is>
          <t>Resource Planning Summary</t>
        </is>
      </c>
    </row>
    <row r="3">
      <c r="A3" s="16" t="inlineStr">
        <is>
          <t>Project</t>
        </is>
      </c>
      <c r="B3" s="16" t="inlineStr">
        <is>
          <t>Team Members</t>
        </is>
      </c>
      <c r="C3" s="16" t="inlineStr">
        <is>
          <t>Capacity Hrs</t>
        </is>
      </c>
      <c r="D3" s="16" t="inlineStr">
        <is>
          <t>Allocated Hrs</t>
        </is>
      </c>
      <c r="E3" s="16" t="inlineStr">
        <is>
          <t>Avg Allocation %</t>
        </is>
      </c>
      <c r="F3" s="16" t="inlineStr">
        <is>
          <t>Available Hrs</t>
        </is>
      </c>
    </row>
    <row r="4">
      <c r="A4" t="inlineStr">
        <is>
          <t>Folder Governance</t>
        </is>
      </c>
      <c r="B4" s="17">
        <f>COUNTIF('Resource Plan'!$F$5:$F$16,A4)</f>
        <v/>
      </c>
      <c r="C4" s="17">
        <f>SUMIF('Resource Plan'!$F$5:$F$16,A4,'Resource Plan'!$E$5:$E$16)</f>
        <v/>
      </c>
      <c r="D4" s="17">
        <f>SUMIF('Resource Plan'!$F$5:$F$16,A4,'Resource Plan'!$H$5:$H$16)</f>
        <v/>
      </c>
      <c r="E4" s="18">
        <f>IF(C4=0,0,D4/C4)</f>
        <v/>
      </c>
      <c r="F4" s="17">
        <f>C4-D4</f>
        <v/>
      </c>
    </row>
    <row r="5">
      <c r="A5" t="inlineStr">
        <is>
          <t>Haskoning PMO</t>
        </is>
      </c>
      <c r="B5" s="17">
        <f>COUNTIF('Resource Plan'!$F$5:$F$16,A5)</f>
        <v/>
      </c>
      <c r="C5" s="17">
        <f>SUMIF('Resource Plan'!$F$5:$F$16,A5,'Resource Plan'!$E$5:$E$16)</f>
        <v/>
      </c>
      <c r="D5" s="17">
        <f>SUMIF('Resource Plan'!$F$5:$F$16,A5,'Resource Plan'!$H$5:$H$16)</f>
        <v/>
      </c>
      <c r="E5" s="18">
        <f>IF(C5=0,0,D5/C5)</f>
        <v/>
      </c>
      <c r="F5" s="17">
        <f>C5-D5</f>
        <v/>
      </c>
    </row>
    <row r="6">
      <c r="A6" t="inlineStr">
        <is>
          <t>Image Share Tool</t>
        </is>
      </c>
      <c r="B6" s="17">
        <f>COUNTIF('Resource Plan'!$F$5:$F$16,A6)</f>
        <v/>
      </c>
      <c r="C6" s="17">
        <f>SUMIF('Resource Plan'!$F$5:$F$16,A6,'Resource Plan'!$E$5:$E$16)</f>
        <v/>
      </c>
      <c r="D6" s="17">
        <f>SUMIF('Resource Plan'!$F$5:$F$16,A6,'Resource Plan'!$H$5:$H$16)</f>
        <v/>
      </c>
      <c r="E6" s="18">
        <f>IF(C6=0,0,D6/C6)</f>
        <v/>
      </c>
      <c r="F6" s="17">
        <f>C6-D6</f>
        <v/>
      </c>
    </row>
    <row r="7">
      <c r="A7" t="inlineStr">
        <is>
          <t>Internal KPI Dashboard</t>
        </is>
      </c>
      <c r="B7" s="17">
        <f>COUNTIF('Resource Plan'!$F$5:$F$16,A7)</f>
        <v/>
      </c>
      <c r="C7" s="17">
        <f>SUMIF('Resource Plan'!$F$5:$F$16,A7,'Resource Plan'!$E$5:$E$16)</f>
        <v/>
      </c>
      <c r="D7" s="17">
        <f>SUMIF('Resource Plan'!$F$5:$F$16,A7,'Resource Plan'!$H$5:$H$16)</f>
        <v/>
      </c>
      <c r="E7" s="18">
        <f>IF(C7=0,0,D7/C7)</f>
        <v/>
      </c>
      <c r="F7" s="17">
        <f>C7-D7</f>
        <v/>
      </c>
    </row>
    <row r="8">
      <c r="A8" t="inlineStr">
        <is>
          <t>Permission Audit Tool</t>
        </is>
      </c>
      <c r="B8" s="17">
        <f>COUNTIF('Resource Plan'!$F$5:$F$16,A8)</f>
        <v/>
      </c>
      <c r="C8" s="17">
        <f>SUMIF('Resource Plan'!$F$5:$F$16,A8,'Resource Plan'!$E$5:$E$16)</f>
        <v/>
      </c>
      <c r="D8" s="17">
        <f>SUMIF('Resource Plan'!$F$5:$F$16,A8,'Resource Plan'!$H$5:$H$16)</f>
        <v/>
      </c>
      <c r="E8" s="18">
        <f>IF(C8=0,0,D8/C8)</f>
        <v/>
      </c>
      <c r="F8" s="17">
        <f>C8-D8</f>
        <v/>
      </c>
    </row>
    <row r="9">
      <c r="A9" t="inlineStr">
        <is>
          <t>Resource Planning Dashboard</t>
        </is>
      </c>
      <c r="B9" s="17">
        <f>COUNTIF('Resource Plan'!$F$5:$F$16,A9)</f>
        <v/>
      </c>
      <c r="C9" s="17">
        <f>SUMIF('Resource Plan'!$F$5:$F$16,A9,'Resource Plan'!$E$5:$E$16)</f>
        <v/>
      </c>
      <c r="D9" s="17">
        <f>SUMIF('Resource Plan'!$F$5:$F$16,A9,'Resource Plan'!$H$5:$H$16)</f>
        <v/>
      </c>
      <c r="E9" s="18">
        <f>IF(C9=0,0,D9/C9)</f>
        <v/>
      </c>
      <c r="F9" s="17">
        <f>C9-D9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8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1" t="inlineStr">
        <is>
          <t>Recommended Deployment Architecture for Internal Resource Planning Data</t>
        </is>
      </c>
    </row>
    <row r="3">
      <c r="A3" s="16" t="inlineStr">
        <is>
          <t>Layer</t>
        </is>
      </c>
      <c r="B3" s="16" t="inlineStr">
        <is>
          <t>Component</t>
        </is>
      </c>
      <c r="C3" s="16" t="inlineStr">
        <is>
          <t>Purpose</t>
        </is>
      </c>
      <c r="D3" s="16" t="inlineStr">
        <is>
          <t>Recommended Choice</t>
        </is>
      </c>
      <c r="E3" s="16" t="inlineStr">
        <is>
          <t>Notes</t>
        </is>
      </c>
      <c r="F3" s="16" t="inlineStr">
        <is>
          <t>Security</t>
        </is>
      </c>
      <c r="G3" s="16" t="inlineStr">
        <is>
          <t>Ops</t>
        </is>
      </c>
    </row>
    <row r="4">
      <c r="A4" t="inlineStr">
        <is>
          <t>Source Data</t>
        </is>
      </c>
      <c r="B4" t="inlineStr">
        <is>
          <t>Excel workbook / SharePoint folder</t>
        </is>
      </c>
      <c r="C4" t="inlineStr">
        <is>
          <t>Business-owned planning input</t>
        </is>
      </c>
      <c r="D4" t="inlineStr">
        <is>
          <t>Store workbook in SharePoint/OneDrive versioned folder</t>
        </is>
      </c>
      <c r="E4" t="inlineStr">
        <is>
          <t>Business team updates template monthly</t>
        </is>
      </c>
      <c r="F4" t="inlineStr">
        <is>
          <t>M365 permissions by team</t>
        </is>
      </c>
      <c r="G4" t="inlineStr">
        <is>
          <t>Low ops</t>
        </is>
      </c>
    </row>
    <row r="5">
      <c r="A5" t="inlineStr">
        <is>
          <t>Ingestion</t>
        </is>
      </c>
      <c r="B5" t="inlineStr">
        <is>
          <t>Python pandas/openpyxl loader</t>
        </is>
      </c>
      <c r="C5" t="inlineStr">
        <is>
          <t>Read workbook and validate schema</t>
        </is>
      </c>
      <c r="D5" t="inlineStr">
        <is>
          <t>Load xlsx on app startup or scheduled refresh</t>
        </is>
      </c>
      <c r="E5" t="inlineStr">
        <is>
          <t>Reject invalid columns / missing sheets</t>
        </is>
      </c>
      <c r="F5" t="inlineStr">
        <is>
          <t>Read-only service access</t>
        </is>
      </c>
      <c r="G5" t="inlineStr">
        <is>
          <t>Medium</t>
        </is>
      </c>
    </row>
    <row r="6">
      <c r="A6" t="inlineStr">
        <is>
          <t>App Layer</t>
        </is>
      </c>
      <c r="B6" t="inlineStr">
        <is>
          <t>Streamlit dashboard</t>
        </is>
      </c>
      <c r="C6" t="inlineStr">
        <is>
          <t>Interactive filters, KPIs, charts, export</t>
        </is>
      </c>
      <c r="D6" t="inlineStr">
        <is>
          <t>Dockerized Streamlit app on internal VM/App Service</t>
        </is>
      </c>
      <c r="E6" t="inlineStr">
        <is>
          <t>Cache data and support file refresh</t>
        </is>
      </c>
      <c r="F6" t="inlineStr">
        <is>
          <t>SSO / OIDC + VPN or private network</t>
        </is>
      </c>
      <c r="G6" t="inlineStr">
        <is>
          <t>Medium</t>
        </is>
      </c>
    </row>
    <row r="7">
      <c r="A7" t="inlineStr">
        <is>
          <t>Auth</t>
        </is>
      </c>
      <c r="B7" t="inlineStr">
        <is>
          <t>Microsoft Entra ID</t>
        </is>
      </c>
      <c r="C7" t="inlineStr">
        <is>
          <t>Identity and access control</t>
        </is>
      </c>
      <c r="D7" t="inlineStr">
        <is>
          <t>OIDC login for internal users</t>
        </is>
      </c>
      <c r="E7" t="inlineStr">
        <is>
          <t>Restrict to company tenant/group</t>
        </is>
      </c>
      <c r="F7" t="inlineStr">
        <is>
          <t>MFA + group-based access</t>
        </is>
      </c>
      <c r="G7" t="inlineStr">
        <is>
          <t>Low</t>
        </is>
      </c>
    </row>
    <row r="8">
      <c r="A8" t="inlineStr">
        <is>
          <t>Reverse Proxy</t>
        </is>
      </c>
      <c r="B8" t="inlineStr">
        <is>
          <t>Nginx or App Gateway</t>
        </is>
      </c>
      <c r="C8" t="inlineStr">
        <is>
          <t>TLS termination and routing</t>
        </is>
      </c>
      <c r="D8" t="inlineStr">
        <is>
          <t>Expose only internal HTTPS endpoint</t>
        </is>
      </c>
      <c r="E8" t="inlineStr">
        <is>
          <t>Optional path-based routing</t>
        </is>
      </c>
      <c r="F8" t="inlineStr">
        <is>
          <t>HTTPS, headers, IP allowlist</t>
        </is>
      </c>
      <c r="G8" t="inlineStr">
        <is>
          <t>Medium</t>
        </is>
      </c>
    </row>
    <row r="9">
      <c r="A9" t="inlineStr">
        <is>
          <t>Container Runtime</t>
        </is>
      </c>
      <c r="B9" t="inlineStr">
        <is>
          <t>Docker</t>
        </is>
      </c>
      <c r="C9" t="inlineStr">
        <is>
          <t>Portable deployment</t>
        </is>
      </c>
      <c r="D9" t="inlineStr">
        <is>
          <t>Single container per environment</t>
        </is>
      </c>
      <c r="E9" t="inlineStr">
        <is>
          <t>Dev/Test/Prod image tags</t>
        </is>
      </c>
      <c r="F9" t="inlineStr">
        <is>
          <t>Secrets via env vars</t>
        </is>
      </c>
      <c r="G9" t="inlineStr">
        <is>
          <t>Medium</t>
        </is>
      </c>
    </row>
    <row r="10">
      <c r="A10" t="inlineStr">
        <is>
          <t>Monitoring</t>
        </is>
      </c>
      <c r="B10" t="inlineStr">
        <is>
          <t>Application logs + health check</t>
        </is>
      </c>
      <c r="C10" t="inlineStr">
        <is>
          <t>Support and troubleshooting</t>
        </is>
      </c>
      <c r="D10" t="inlineStr">
        <is>
          <t>Health endpoint and structured logs</t>
        </is>
      </c>
      <c r="E10" t="inlineStr">
        <is>
          <t>Track refresh failures</t>
        </is>
      </c>
      <c r="F10" t="inlineStr">
        <is>
          <t>No secrets in logs</t>
        </is>
      </c>
      <c r="G10" t="inlineStr">
        <is>
          <t>Medium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2026-07-04T10:51:42Z</dcterms:created>
  <dcterms:modified xmlns:dcterms="http://purl.org/dc/terms/" xmlns:xsi="http://www.w3.org/2001/XMLSchema-instance" xsi:type="dcterms:W3CDTF">2026-07-04T10:51:57Z</dcterms:modified>
</cp:coreProperties>
</file>